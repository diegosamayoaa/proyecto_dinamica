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ego\Documents\2026\Quinto Semestre\Dinámica\"/>
    </mc:Choice>
  </mc:AlternateContent>
  <xr:revisionPtr revIDLastSave="0" documentId="13_ncr:1_{8AF8A4C8-CA16-4BB2-9DC8-443DE610DDDA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Calculo para velocidad angular" sheetId="9" r:id="rId1"/>
    <sheet name="Supuestos" sheetId="1" r:id="rId2"/>
    <sheet name="Cinematica" sheetId="2" r:id="rId3"/>
    <sheet name="Resumen" sheetId="3" r:id="rId4"/>
    <sheet name="Sistema Reacciones" sheetId="4" r:id="rId5"/>
    <sheet name="Reacciones" sheetId="5" r:id="rId6"/>
    <sheet name="Procedimiento" sheetId="7" r:id="rId7"/>
    <sheet name="Grafica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8" i="9" l="1"/>
  <c r="H138" i="9"/>
  <c r="I137" i="9"/>
  <c r="H137" i="9"/>
  <c r="I136" i="9"/>
  <c r="H136" i="9"/>
  <c r="I135" i="9"/>
  <c r="H135" i="9"/>
  <c r="I134" i="9"/>
  <c r="H134" i="9"/>
  <c r="I133" i="9"/>
  <c r="H133" i="9"/>
  <c r="I132" i="9"/>
  <c r="H132" i="9"/>
  <c r="I131" i="9"/>
  <c r="H131" i="9"/>
  <c r="I130" i="9"/>
  <c r="H130" i="9"/>
  <c r="I129" i="9"/>
  <c r="H129" i="9"/>
  <c r="I128" i="9"/>
  <c r="H128" i="9"/>
  <c r="I127" i="9"/>
  <c r="H127" i="9"/>
  <c r="I126" i="9"/>
  <c r="H126" i="9"/>
  <c r="I125" i="9"/>
  <c r="H125" i="9"/>
  <c r="I124" i="9"/>
  <c r="H124" i="9"/>
  <c r="J123" i="9"/>
  <c r="I123" i="9"/>
  <c r="H123" i="9"/>
  <c r="J122" i="9"/>
  <c r="I122" i="9"/>
  <c r="H122" i="9"/>
  <c r="J121" i="9"/>
  <c r="I121" i="9"/>
  <c r="H121" i="9"/>
  <c r="J120" i="9"/>
  <c r="I120" i="9"/>
  <c r="H120" i="9"/>
  <c r="J119" i="9"/>
  <c r="I119" i="9"/>
  <c r="H119" i="9"/>
  <c r="J118" i="9"/>
  <c r="I118" i="9"/>
  <c r="H118" i="9"/>
  <c r="J117" i="9"/>
  <c r="I117" i="9"/>
  <c r="H117" i="9"/>
  <c r="J116" i="9"/>
  <c r="I116" i="9"/>
  <c r="H116" i="9"/>
  <c r="J115" i="9"/>
  <c r="I115" i="9"/>
  <c r="H115" i="9"/>
  <c r="J114" i="9"/>
  <c r="I114" i="9"/>
  <c r="H114" i="9"/>
  <c r="J113" i="9"/>
  <c r="I113" i="9"/>
  <c r="H113" i="9"/>
  <c r="J112" i="9"/>
  <c r="I112" i="9"/>
  <c r="H112" i="9"/>
  <c r="J111" i="9"/>
  <c r="I111" i="9"/>
  <c r="H111" i="9"/>
  <c r="J110" i="9"/>
  <c r="I110" i="9"/>
  <c r="H110" i="9"/>
  <c r="J109" i="9"/>
  <c r="I109" i="9"/>
  <c r="H109" i="9"/>
  <c r="J108" i="9"/>
  <c r="I108" i="9"/>
  <c r="H108" i="9"/>
  <c r="J107" i="9"/>
  <c r="I107" i="9"/>
  <c r="H107" i="9"/>
  <c r="J106" i="9"/>
  <c r="I106" i="9"/>
  <c r="H106" i="9"/>
  <c r="J105" i="9"/>
  <c r="I105" i="9"/>
  <c r="H105" i="9"/>
  <c r="J104" i="9"/>
  <c r="I104" i="9"/>
  <c r="H104" i="9"/>
  <c r="J103" i="9"/>
  <c r="I103" i="9"/>
  <c r="H103" i="9"/>
  <c r="J102" i="9"/>
  <c r="I102" i="9"/>
  <c r="H102" i="9"/>
  <c r="J101" i="9"/>
  <c r="I101" i="9"/>
  <c r="H101" i="9"/>
  <c r="J100" i="9"/>
  <c r="I100" i="9"/>
  <c r="H100" i="9"/>
  <c r="J99" i="9"/>
  <c r="I99" i="9"/>
  <c r="H99" i="9"/>
  <c r="J98" i="9"/>
  <c r="I98" i="9"/>
  <c r="H98" i="9"/>
  <c r="J97" i="9"/>
  <c r="I97" i="9"/>
  <c r="H97" i="9"/>
  <c r="J96" i="9"/>
  <c r="I96" i="9"/>
  <c r="H96" i="9"/>
  <c r="J95" i="9"/>
  <c r="I95" i="9"/>
  <c r="H95" i="9"/>
  <c r="J94" i="9"/>
  <c r="I94" i="9"/>
  <c r="H94" i="9"/>
  <c r="J93" i="9"/>
  <c r="I93" i="9"/>
  <c r="H93" i="9"/>
  <c r="J92" i="9"/>
  <c r="I92" i="9"/>
  <c r="H92" i="9"/>
  <c r="J91" i="9"/>
  <c r="I91" i="9"/>
  <c r="H91" i="9"/>
  <c r="J90" i="9"/>
  <c r="I90" i="9"/>
  <c r="H90" i="9"/>
  <c r="J89" i="9"/>
  <c r="I89" i="9"/>
  <c r="H89" i="9"/>
  <c r="J88" i="9"/>
  <c r="I88" i="9"/>
  <c r="H88" i="9"/>
  <c r="J87" i="9"/>
  <c r="I87" i="9"/>
  <c r="H87" i="9"/>
  <c r="J86" i="9"/>
  <c r="I86" i="9"/>
  <c r="H86" i="9"/>
  <c r="J85" i="9"/>
  <c r="I85" i="9"/>
  <c r="H85" i="9"/>
  <c r="J84" i="9"/>
  <c r="I84" i="9"/>
  <c r="H84" i="9"/>
  <c r="J83" i="9"/>
  <c r="I83" i="9"/>
  <c r="H83" i="9"/>
  <c r="J82" i="9"/>
  <c r="I82" i="9"/>
  <c r="H82" i="9"/>
  <c r="J81" i="9"/>
  <c r="I81" i="9"/>
  <c r="H81" i="9"/>
  <c r="J80" i="9"/>
  <c r="I80" i="9"/>
  <c r="H80" i="9"/>
  <c r="J79" i="9"/>
  <c r="I79" i="9"/>
  <c r="H79" i="9"/>
  <c r="J78" i="9"/>
  <c r="I78" i="9"/>
  <c r="H78" i="9"/>
  <c r="J77" i="9"/>
  <c r="I77" i="9"/>
  <c r="H77" i="9"/>
  <c r="J76" i="9"/>
  <c r="I76" i="9"/>
  <c r="H76" i="9"/>
  <c r="J75" i="9"/>
  <c r="I75" i="9"/>
  <c r="H75" i="9"/>
  <c r="J74" i="9"/>
  <c r="I74" i="9"/>
  <c r="H74" i="9"/>
  <c r="J73" i="9"/>
  <c r="I73" i="9"/>
  <c r="H73" i="9"/>
  <c r="J72" i="9"/>
  <c r="I72" i="9"/>
  <c r="H72" i="9"/>
  <c r="J71" i="9"/>
  <c r="I71" i="9"/>
  <c r="H71" i="9"/>
  <c r="J70" i="9"/>
  <c r="I70" i="9"/>
  <c r="H70" i="9"/>
  <c r="J69" i="9"/>
  <c r="I69" i="9"/>
  <c r="H69" i="9"/>
  <c r="J68" i="9"/>
  <c r="I68" i="9"/>
  <c r="H68" i="9"/>
  <c r="J67" i="9"/>
  <c r="I67" i="9"/>
  <c r="H67" i="9"/>
  <c r="J66" i="9"/>
  <c r="I66" i="9"/>
  <c r="H66" i="9"/>
  <c r="J65" i="9"/>
  <c r="I65" i="9"/>
  <c r="H65" i="9"/>
  <c r="J64" i="9"/>
  <c r="I64" i="9"/>
  <c r="H64" i="9"/>
  <c r="J63" i="9"/>
  <c r="I63" i="9"/>
  <c r="H63" i="9"/>
  <c r="J62" i="9"/>
  <c r="I62" i="9"/>
  <c r="H62" i="9"/>
  <c r="J61" i="9"/>
  <c r="I61" i="9"/>
  <c r="H61" i="9"/>
  <c r="J60" i="9"/>
  <c r="I60" i="9"/>
  <c r="H60" i="9"/>
  <c r="J59" i="9"/>
  <c r="I59" i="9"/>
  <c r="H59" i="9"/>
  <c r="J58" i="9"/>
  <c r="I58" i="9"/>
  <c r="H58" i="9"/>
  <c r="J57" i="9"/>
  <c r="I57" i="9"/>
  <c r="H57" i="9"/>
  <c r="J56" i="9"/>
  <c r="I56" i="9"/>
  <c r="H56" i="9"/>
  <c r="J55" i="9"/>
  <c r="I55" i="9"/>
  <c r="H55" i="9"/>
  <c r="J54" i="9"/>
  <c r="I54" i="9"/>
  <c r="H54" i="9"/>
  <c r="J53" i="9"/>
  <c r="I53" i="9"/>
  <c r="H53" i="9"/>
  <c r="J52" i="9"/>
  <c r="I52" i="9"/>
  <c r="H52" i="9"/>
  <c r="J51" i="9"/>
  <c r="I51" i="9"/>
  <c r="H51" i="9"/>
  <c r="J50" i="9"/>
  <c r="I50" i="9"/>
  <c r="H50" i="9"/>
  <c r="J49" i="9"/>
  <c r="I49" i="9"/>
  <c r="H49" i="9"/>
  <c r="J48" i="9"/>
  <c r="I48" i="9"/>
  <c r="H48" i="9"/>
  <c r="J47" i="9"/>
  <c r="I47" i="9"/>
  <c r="H47" i="9"/>
  <c r="J46" i="9"/>
  <c r="I46" i="9"/>
  <c r="H46" i="9"/>
  <c r="J45" i="9"/>
  <c r="I45" i="9"/>
  <c r="H45" i="9"/>
  <c r="J44" i="9"/>
  <c r="I44" i="9"/>
  <c r="H44" i="9"/>
  <c r="J43" i="9"/>
  <c r="I43" i="9"/>
  <c r="H43" i="9"/>
  <c r="J42" i="9"/>
  <c r="I42" i="9"/>
  <c r="H42" i="9"/>
  <c r="J41" i="9"/>
  <c r="I41" i="9"/>
  <c r="H41" i="9"/>
  <c r="J40" i="9"/>
  <c r="I40" i="9"/>
  <c r="H40" i="9"/>
  <c r="J39" i="9"/>
  <c r="I39" i="9"/>
  <c r="H39" i="9"/>
  <c r="J38" i="9"/>
  <c r="I38" i="9"/>
  <c r="H38" i="9"/>
  <c r="J37" i="9"/>
  <c r="I37" i="9"/>
  <c r="H37" i="9"/>
  <c r="J36" i="9"/>
  <c r="I36" i="9"/>
  <c r="H36" i="9"/>
  <c r="J35" i="9"/>
  <c r="I35" i="9"/>
  <c r="H35" i="9"/>
  <c r="J34" i="9"/>
  <c r="I34" i="9"/>
  <c r="H34" i="9"/>
  <c r="J33" i="9"/>
  <c r="I33" i="9"/>
  <c r="H33" i="9"/>
  <c r="J32" i="9"/>
  <c r="I32" i="9"/>
  <c r="H32" i="9"/>
  <c r="J31" i="9"/>
  <c r="I31" i="9"/>
  <c r="H31" i="9"/>
  <c r="J30" i="9"/>
  <c r="I30" i="9"/>
  <c r="H30" i="9"/>
  <c r="J29" i="9"/>
  <c r="I29" i="9"/>
  <c r="H29" i="9"/>
  <c r="J28" i="9"/>
  <c r="I28" i="9"/>
  <c r="H28" i="9"/>
  <c r="J27" i="9"/>
  <c r="I27" i="9"/>
  <c r="H27" i="9"/>
  <c r="J26" i="9"/>
  <c r="I26" i="9"/>
  <c r="H26" i="9"/>
  <c r="J25" i="9"/>
  <c r="I25" i="9"/>
  <c r="H25" i="9"/>
  <c r="J24" i="9"/>
  <c r="I24" i="9"/>
  <c r="H24" i="9"/>
  <c r="J23" i="9"/>
  <c r="I23" i="9"/>
  <c r="H23" i="9"/>
  <c r="K22" i="9"/>
  <c r="J22" i="9"/>
  <c r="I22" i="9"/>
  <c r="H22" i="9"/>
  <c r="J21" i="9"/>
  <c r="I21" i="9"/>
  <c r="H21" i="9"/>
  <c r="J20" i="9"/>
  <c r="I20" i="9"/>
  <c r="H20" i="9"/>
  <c r="J19" i="9"/>
  <c r="I19" i="9"/>
  <c r="H19" i="9"/>
  <c r="J18" i="9"/>
  <c r="I18" i="9"/>
  <c r="H18" i="9"/>
  <c r="J17" i="9"/>
  <c r="I17" i="9"/>
  <c r="H17" i="9"/>
  <c r="J16" i="9"/>
  <c r="I16" i="9"/>
  <c r="H16" i="9"/>
  <c r="J15" i="9"/>
  <c r="I15" i="9"/>
  <c r="H15" i="9"/>
  <c r="J14" i="9"/>
  <c r="I14" i="9"/>
  <c r="H14" i="9"/>
  <c r="J13" i="9"/>
  <c r="I13" i="9"/>
  <c r="H13" i="9"/>
  <c r="J12" i="9"/>
  <c r="I12" i="9"/>
  <c r="H12" i="9"/>
  <c r="J11" i="9"/>
  <c r="I11" i="9"/>
  <c r="H11" i="9"/>
  <c r="J10" i="9"/>
  <c r="I10" i="9"/>
  <c r="H10" i="9"/>
  <c r="J9" i="9"/>
  <c r="I9" i="9"/>
  <c r="H9" i="9"/>
  <c r="W8" i="9"/>
  <c r="J8" i="9"/>
  <c r="I8" i="9"/>
  <c r="H8" i="9"/>
  <c r="W7" i="9"/>
  <c r="J7" i="9"/>
  <c r="I7" i="9"/>
  <c r="H7" i="9"/>
  <c r="W6" i="9"/>
  <c r="J6" i="9"/>
  <c r="I6" i="9"/>
  <c r="H6" i="9"/>
  <c r="W5" i="9"/>
  <c r="J5" i="9"/>
  <c r="I5" i="9"/>
  <c r="H5" i="9"/>
  <c r="W4" i="9"/>
  <c r="J4" i="9"/>
  <c r="I4" i="9"/>
  <c r="H4" i="9"/>
  <c r="W3" i="9"/>
  <c r="J3" i="9"/>
  <c r="I3" i="9"/>
  <c r="H3" i="9"/>
  <c r="J2" i="9"/>
  <c r="I2" i="9"/>
  <c r="H2" i="9"/>
  <c r="V7" i="8"/>
  <c r="U7" i="8"/>
  <c r="T7" i="8"/>
  <c r="S7" i="8"/>
  <c r="V6" i="8"/>
  <c r="U6" i="8"/>
  <c r="T6" i="8"/>
  <c r="S6" i="8"/>
  <c r="V5" i="8"/>
  <c r="U5" i="8"/>
  <c r="T5" i="8"/>
  <c r="S5" i="8"/>
  <c r="V4" i="8"/>
  <c r="U4" i="8"/>
  <c r="T4" i="8"/>
  <c r="S4" i="8"/>
  <c r="V3" i="8"/>
  <c r="U3" i="8"/>
  <c r="T3" i="8"/>
  <c r="S3" i="8"/>
  <c r="V2" i="8"/>
  <c r="U2" i="8"/>
  <c r="T2" i="8"/>
  <c r="S2" i="8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L83" i="4"/>
  <c r="K83" i="4"/>
  <c r="J83" i="4"/>
  <c r="I83" i="4"/>
  <c r="H83" i="4"/>
  <c r="G83" i="4"/>
  <c r="F83" i="4"/>
  <c r="E83" i="4"/>
  <c r="D83" i="4"/>
  <c r="C83" i="4"/>
  <c r="B83" i="4"/>
  <c r="L82" i="4"/>
  <c r="K82" i="4"/>
  <c r="J82" i="4"/>
  <c r="I82" i="4"/>
  <c r="H82" i="4"/>
  <c r="G82" i="4"/>
  <c r="F82" i="4"/>
  <c r="E82" i="4"/>
  <c r="D82" i="4"/>
  <c r="C82" i="4"/>
  <c r="B82" i="4"/>
  <c r="L81" i="4"/>
  <c r="K81" i="4"/>
  <c r="J81" i="4"/>
  <c r="I81" i="4"/>
  <c r="H81" i="4"/>
  <c r="G81" i="4"/>
  <c r="F81" i="4"/>
  <c r="E81" i="4"/>
  <c r="D81" i="4"/>
  <c r="C81" i="4"/>
  <c r="B81" i="4"/>
  <c r="L80" i="4"/>
  <c r="K80" i="4"/>
  <c r="J80" i="4"/>
  <c r="I80" i="4"/>
  <c r="H80" i="4"/>
  <c r="G80" i="4"/>
  <c r="F80" i="4"/>
  <c r="E80" i="4"/>
  <c r="D80" i="4"/>
  <c r="C80" i="4"/>
  <c r="B80" i="4"/>
  <c r="L79" i="4"/>
  <c r="K79" i="4"/>
  <c r="J79" i="4"/>
  <c r="I79" i="4"/>
  <c r="H79" i="4"/>
  <c r="G79" i="4"/>
  <c r="F79" i="4"/>
  <c r="E79" i="4"/>
  <c r="D79" i="4"/>
  <c r="C79" i="4"/>
  <c r="B79" i="4"/>
  <c r="L78" i="4"/>
  <c r="K78" i="4"/>
  <c r="J78" i="4"/>
  <c r="I78" i="4"/>
  <c r="H78" i="4"/>
  <c r="G78" i="4"/>
  <c r="F78" i="4"/>
  <c r="E78" i="4"/>
  <c r="D78" i="4"/>
  <c r="C78" i="4"/>
  <c r="B78" i="4"/>
  <c r="L77" i="4"/>
  <c r="K77" i="4"/>
  <c r="J77" i="4"/>
  <c r="I77" i="4"/>
  <c r="H77" i="4"/>
  <c r="G77" i="4"/>
  <c r="F77" i="4"/>
  <c r="E77" i="4"/>
  <c r="D77" i="4"/>
  <c r="C77" i="4"/>
  <c r="B77" i="4"/>
  <c r="L76" i="4"/>
  <c r="K76" i="4"/>
  <c r="J76" i="4"/>
  <c r="I76" i="4"/>
  <c r="H76" i="4"/>
  <c r="G76" i="4"/>
  <c r="F76" i="4"/>
  <c r="E76" i="4"/>
  <c r="D76" i="4"/>
  <c r="C76" i="4"/>
  <c r="B76" i="4"/>
  <c r="L75" i="4"/>
  <c r="K75" i="4"/>
  <c r="J75" i="4"/>
  <c r="I75" i="4"/>
  <c r="H75" i="4"/>
  <c r="G75" i="4"/>
  <c r="F75" i="4"/>
  <c r="E75" i="4"/>
  <c r="D75" i="4"/>
  <c r="C75" i="4"/>
  <c r="B75" i="4"/>
  <c r="A73" i="4"/>
  <c r="L69" i="4"/>
  <c r="K69" i="4"/>
  <c r="J69" i="4"/>
  <c r="I69" i="4"/>
  <c r="H69" i="4"/>
  <c r="G69" i="4"/>
  <c r="F69" i="4"/>
  <c r="E69" i="4"/>
  <c r="D69" i="4"/>
  <c r="C69" i="4"/>
  <c r="B69" i="4"/>
  <c r="L68" i="4"/>
  <c r="K68" i="4"/>
  <c r="J68" i="4"/>
  <c r="I68" i="4"/>
  <c r="H68" i="4"/>
  <c r="G68" i="4"/>
  <c r="F68" i="4"/>
  <c r="E68" i="4"/>
  <c r="D68" i="4"/>
  <c r="C68" i="4"/>
  <c r="B68" i="4"/>
  <c r="L67" i="4"/>
  <c r="K67" i="4"/>
  <c r="J67" i="4"/>
  <c r="I67" i="4"/>
  <c r="H67" i="4"/>
  <c r="G67" i="4"/>
  <c r="F67" i="4"/>
  <c r="E67" i="4"/>
  <c r="D67" i="4"/>
  <c r="C67" i="4"/>
  <c r="B67" i="4"/>
  <c r="L66" i="4"/>
  <c r="K66" i="4"/>
  <c r="J66" i="4"/>
  <c r="I66" i="4"/>
  <c r="H66" i="4"/>
  <c r="G66" i="4"/>
  <c r="F66" i="4"/>
  <c r="E66" i="4"/>
  <c r="D66" i="4"/>
  <c r="C66" i="4"/>
  <c r="B66" i="4"/>
  <c r="L65" i="4"/>
  <c r="K65" i="4"/>
  <c r="J65" i="4"/>
  <c r="I65" i="4"/>
  <c r="H65" i="4"/>
  <c r="G65" i="4"/>
  <c r="F65" i="4"/>
  <c r="E65" i="4"/>
  <c r="D65" i="4"/>
  <c r="C65" i="4"/>
  <c r="B65" i="4"/>
  <c r="L64" i="4"/>
  <c r="K64" i="4"/>
  <c r="J64" i="4"/>
  <c r="I64" i="4"/>
  <c r="H64" i="4"/>
  <c r="G64" i="4"/>
  <c r="F64" i="4"/>
  <c r="E64" i="4"/>
  <c r="D64" i="4"/>
  <c r="C64" i="4"/>
  <c r="B64" i="4"/>
  <c r="L63" i="4"/>
  <c r="K63" i="4"/>
  <c r="J63" i="4"/>
  <c r="I63" i="4"/>
  <c r="H63" i="4"/>
  <c r="G63" i="4"/>
  <c r="F63" i="4"/>
  <c r="E63" i="4"/>
  <c r="D63" i="4"/>
  <c r="C63" i="4"/>
  <c r="B63" i="4"/>
  <c r="L62" i="4"/>
  <c r="K62" i="4"/>
  <c r="J62" i="4"/>
  <c r="I62" i="4"/>
  <c r="H62" i="4"/>
  <c r="G62" i="4"/>
  <c r="F62" i="4"/>
  <c r="E62" i="4"/>
  <c r="D62" i="4"/>
  <c r="C62" i="4"/>
  <c r="B62" i="4"/>
  <c r="L61" i="4"/>
  <c r="K61" i="4"/>
  <c r="J61" i="4"/>
  <c r="I61" i="4"/>
  <c r="H61" i="4"/>
  <c r="G61" i="4"/>
  <c r="F61" i="4"/>
  <c r="E61" i="4"/>
  <c r="D61" i="4"/>
  <c r="C61" i="4"/>
  <c r="B61" i="4"/>
  <c r="A59" i="4"/>
  <c r="L55" i="4"/>
  <c r="K55" i="4"/>
  <c r="J55" i="4"/>
  <c r="I55" i="4"/>
  <c r="H55" i="4"/>
  <c r="G55" i="4"/>
  <c r="F55" i="4"/>
  <c r="E55" i="4"/>
  <c r="D55" i="4"/>
  <c r="C55" i="4"/>
  <c r="B55" i="4"/>
  <c r="L54" i="4"/>
  <c r="K54" i="4"/>
  <c r="J54" i="4"/>
  <c r="I54" i="4"/>
  <c r="H54" i="4"/>
  <c r="G54" i="4"/>
  <c r="F54" i="4"/>
  <c r="E54" i="4"/>
  <c r="D54" i="4"/>
  <c r="C54" i="4"/>
  <c r="B54" i="4"/>
  <c r="L53" i="4"/>
  <c r="K53" i="4"/>
  <c r="J53" i="4"/>
  <c r="I53" i="4"/>
  <c r="H53" i="4"/>
  <c r="G53" i="4"/>
  <c r="F53" i="4"/>
  <c r="E53" i="4"/>
  <c r="D53" i="4"/>
  <c r="C53" i="4"/>
  <c r="B53" i="4"/>
  <c r="L52" i="4"/>
  <c r="K52" i="4"/>
  <c r="J52" i="4"/>
  <c r="I52" i="4"/>
  <c r="H52" i="4"/>
  <c r="G52" i="4"/>
  <c r="F52" i="4"/>
  <c r="E52" i="4"/>
  <c r="D52" i="4"/>
  <c r="C52" i="4"/>
  <c r="B52" i="4"/>
  <c r="L51" i="4"/>
  <c r="K51" i="4"/>
  <c r="J51" i="4"/>
  <c r="I51" i="4"/>
  <c r="H51" i="4"/>
  <c r="G51" i="4"/>
  <c r="F51" i="4"/>
  <c r="E51" i="4"/>
  <c r="D51" i="4"/>
  <c r="C51" i="4"/>
  <c r="B51" i="4"/>
  <c r="L50" i="4"/>
  <c r="K50" i="4"/>
  <c r="J50" i="4"/>
  <c r="I50" i="4"/>
  <c r="H50" i="4"/>
  <c r="G50" i="4"/>
  <c r="F50" i="4"/>
  <c r="E50" i="4"/>
  <c r="D50" i="4"/>
  <c r="C50" i="4"/>
  <c r="B50" i="4"/>
  <c r="L49" i="4"/>
  <c r="K49" i="4"/>
  <c r="J49" i="4"/>
  <c r="I49" i="4"/>
  <c r="H49" i="4"/>
  <c r="G49" i="4"/>
  <c r="F49" i="4"/>
  <c r="E49" i="4"/>
  <c r="D49" i="4"/>
  <c r="C49" i="4"/>
  <c r="B49" i="4"/>
  <c r="L48" i="4"/>
  <c r="K48" i="4"/>
  <c r="J48" i="4"/>
  <c r="I48" i="4"/>
  <c r="H48" i="4"/>
  <c r="G48" i="4"/>
  <c r="F48" i="4"/>
  <c r="E48" i="4"/>
  <c r="D48" i="4"/>
  <c r="C48" i="4"/>
  <c r="B48" i="4"/>
  <c r="L47" i="4"/>
  <c r="K47" i="4"/>
  <c r="J47" i="4"/>
  <c r="I47" i="4"/>
  <c r="H47" i="4"/>
  <c r="G47" i="4"/>
  <c r="F47" i="4"/>
  <c r="E47" i="4"/>
  <c r="D47" i="4"/>
  <c r="C47" i="4"/>
  <c r="B47" i="4"/>
  <c r="A45" i="4"/>
  <c r="L41" i="4"/>
  <c r="K41" i="4"/>
  <c r="J41" i="4"/>
  <c r="I41" i="4"/>
  <c r="H41" i="4"/>
  <c r="G41" i="4"/>
  <c r="F41" i="4"/>
  <c r="E41" i="4"/>
  <c r="D41" i="4"/>
  <c r="C41" i="4"/>
  <c r="B41" i="4"/>
  <c r="L40" i="4"/>
  <c r="K40" i="4"/>
  <c r="J40" i="4"/>
  <c r="I40" i="4"/>
  <c r="H40" i="4"/>
  <c r="G40" i="4"/>
  <c r="F40" i="4"/>
  <c r="E40" i="4"/>
  <c r="D40" i="4"/>
  <c r="C40" i="4"/>
  <c r="B40" i="4"/>
  <c r="L39" i="4"/>
  <c r="K39" i="4"/>
  <c r="J39" i="4"/>
  <c r="I39" i="4"/>
  <c r="H39" i="4"/>
  <c r="G39" i="4"/>
  <c r="F39" i="4"/>
  <c r="E39" i="4"/>
  <c r="D39" i="4"/>
  <c r="C39" i="4"/>
  <c r="B39" i="4"/>
  <c r="L38" i="4"/>
  <c r="K38" i="4"/>
  <c r="J38" i="4"/>
  <c r="I38" i="4"/>
  <c r="H38" i="4"/>
  <c r="G38" i="4"/>
  <c r="F38" i="4"/>
  <c r="E38" i="4"/>
  <c r="D38" i="4"/>
  <c r="C38" i="4"/>
  <c r="B38" i="4"/>
  <c r="L37" i="4"/>
  <c r="K37" i="4"/>
  <c r="J37" i="4"/>
  <c r="I37" i="4"/>
  <c r="H37" i="4"/>
  <c r="G37" i="4"/>
  <c r="F37" i="4"/>
  <c r="E37" i="4"/>
  <c r="D37" i="4"/>
  <c r="C37" i="4"/>
  <c r="B37" i="4"/>
  <c r="L36" i="4"/>
  <c r="K36" i="4"/>
  <c r="J36" i="4"/>
  <c r="I36" i="4"/>
  <c r="H36" i="4"/>
  <c r="G36" i="4"/>
  <c r="F36" i="4"/>
  <c r="E36" i="4"/>
  <c r="D36" i="4"/>
  <c r="C36" i="4"/>
  <c r="B36" i="4"/>
  <c r="L35" i="4"/>
  <c r="K35" i="4"/>
  <c r="J35" i="4"/>
  <c r="I35" i="4"/>
  <c r="H35" i="4"/>
  <c r="G35" i="4"/>
  <c r="F35" i="4"/>
  <c r="E35" i="4"/>
  <c r="D35" i="4"/>
  <c r="C35" i="4"/>
  <c r="B35" i="4"/>
  <c r="L34" i="4"/>
  <c r="K34" i="4"/>
  <c r="J34" i="4"/>
  <c r="I34" i="4"/>
  <c r="H34" i="4"/>
  <c r="G34" i="4"/>
  <c r="F34" i="4"/>
  <c r="E34" i="4"/>
  <c r="D34" i="4"/>
  <c r="C34" i="4"/>
  <c r="B34" i="4"/>
  <c r="L33" i="4"/>
  <c r="K33" i="4"/>
  <c r="J33" i="4"/>
  <c r="I33" i="4"/>
  <c r="H33" i="4"/>
  <c r="G33" i="4"/>
  <c r="F33" i="4"/>
  <c r="E33" i="4"/>
  <c r="D33" i="4"/>
  <c r="C33" i="4"/>
  <c r="B33" i="4"/>
  <c r="A31" i="4"/>
  <c r="L27" i="4"/>
  <c r="K27" i="4"/>
  <c r="J27" i="4"/>
  <c r="I27" i="4"/>
  <c r="H27" i="4"/>
  <c r="G27" i="4"/>
  <c r="F27" i="4"/>
  <c r="E27" i="4"/>
  <c r="D27" i="4"/>
  <c r="C27" i="4"/>
  <c r="B27" i="4"/>
  <c r="L26" i="4"/>
  <c r="K26" i="4"/>
  <c r="J26" i="4"/>
  <c r="I26" i="4"/>
  <c r="H26" i="4"/>
  <c r="G26" i="4"/>
  <c r="F26" i="4"/>
  <c r="E26" i="4"/>
  <c r="D26" i="4"/>
  <c r="C26" i="4"/>
  <c r="B26" i="4"/>
  <c r="L25" i="4"/>
  <c r="K25" i="4"/>
  <c r="J25" i="4"/>
  <c r="I25" i="4"/>
  <c r="H25" i="4"/>
  <c r="G25" i="4"/>
  <c r="F25" i="4"/>
  <c r="E25" i="4"/>
  <c r="D25" i="4"/>
  <c r="C25" i="4"/>
  <c r="B25" i="4"/>
  <c r="L24" i="4"/>
  <c r="K24" i="4"/>
  <c r="J24" i="4"/>
  <c r="I24" i="4"/>
  <c r="H24" i="4"/>
  <c r="G24" i="4"/>
  <c r="F24" i="4"/>
  <c r="E24" i="4"/>
  <c r="D24" i="4"/>
  <c r="C24" i="4"/>
  <c r="B24" i="4"/>
  <c r="L23" i="4"/>
  <c r="K23" i="4"/>
  <c r="J23" i="4"/>
  <c r="I23" i="4"/>
  <c r="H23" i="4"/>
  <c r="G23" i="4"/>
  <c r="F23" i="4"/>
  <c r="E23" i="4"/>
  <c r="D23" i="4"/>
  <c r="C23" i="4"/>
  <c r="B23" i="4"/>
  <c r="L22" i="4"/>
  <c r="K22" i="4"/>
  <c r="J22" i="4"/>
  <c r="I22" i="4"/>
  <c r="H22" i="4"/>
  <c r="G22" i="4"/>
  <c r="F22" i="4"/>
  <c r="E22" i="4"/>
  <c r="D22" i="4"/>
  <c r="C22" i="4"/>
  <c r="B22" i="4"/>
  <c r="L21" i="4"/>
  <c r="K21" i="4"/>
  <c r="J21" i="4"/>
  <c r="I21" i="4"/>
  <c r="H21" i="4"/>
  <c r="G21" i="4"/>
  <c r="F21" i="4"/>
  <c r="E21" i="4"/>
  <c r="D21" i="4"/>
  <c r="C21" i="4"/>
  <c r="B21" i="4"/>
  <c r="L20" i="4"/>
  <c r="K20" i="4"/>
  <c r="J20" i="4"/>
  <c r="I20" i="4"/>
  <c r="H20" i="4"/>
  <c r="G20" i="4"/>
  <c r="F20" i="4"/>
  <c r="E20" i="4"/>
  <c r="D20" i="4"/>
  <c r="C20" i="4"/>
  <c r="B20" i="4"/>
  <c r="L19" i="4"/>
  <c r="K19" i="4"/>
  <c r="J19" i="4"/>
  <c r="I19" i="4"/>
  <c r="H19" i="4"/>
  <c r="G19" i="4"/>
  <c r="F19" i="4"/>
  <c r="E19" i="4"/>
  <c r="D19" i="4"/>
  <c r="C19" i="4"/>
  <c r="B19" i="4"/>
  <c r="A17" i="4"/>
  <c r="L13" i="4"/>
  <c r="K13" i="4"/>
  <c r="J13" i="4"/>
  <c r="I13" i="4"/>
  <c r="H13" i="4"/>
  <c r="G13" i="4"/>
  <c r="F13" i="4"/>
  <c r="E13" i="4"/>
  <c r="D13" i="4"/>
  <c r="C13" i="4"/>
  <c r="B13" i="4"/>
  <c r="L12" i="4"/>
  <c r="K12" i="4"/>
  <c r="J12" i="4"/>
  <c r="I12" i="4"/>
  <c r="H12" i="4"/>
  <c r="G12" i="4"/>
  <c r="F12" i="4"/>
  <c r="E12" i="4"/>
  <c r="D12" i="4"/>
  <c r="C12" i="4"/>
  <c r="B12" i="4"/>
  <c r="L11" i="4"/>
  <c r="K11" i="4"/>
  <c r="J11" i="4"/>
  <c r="I11" i="4"/>
  <c r="H11" i="4"/>
  <c r="G11" i="4"/>
  <c r="F11" i="4"/>
  <c r="E11" i="4"/>
  <c r="D11" i="4"/>
  <c r="C11" i="4"/>
  <c r="B11" i="4"/>
  <c r="L10" i="4"/>
  <c r="K10" i="4"/>
  <c r="J10" i="4"/>
  <c r="I10" i="4"/>
  <c r="H10" i="4"/>
  <c r="G10" i="4"/>
  <c r="F10" i="4"/>
  <c r="E10" i="4"/>
  <c r="D10" i="4"/>
  <c r="C10" i="4"/>
  <c r="B10" i="4"/>
  <c r="L9" i="4"/>
  <c r="K9" i="4"/>
  <c r="J9" i="4"/>
  <c r="I9" i="4"/>
  <c r="H9" i="4"/>
  <c r="G9" i="4"/>
  <c r="F9" i="4"/>
  <c r="E9" i="4"/>
  <c r="D9" i="4"/>
  <c r="C9" i="4"/>
  <c r="B9" i="4"/>
  <c r="L8" i="4"/>
  <c r="K8" i="4"/>
  <c r="J8" i="4"/>
  <c r="I8" i="4"/>
  <c r="H8" i="4"/>
  <c r="G8" i="4"/>
  <c r="F8" i="4"/>
  <c r="E8" i="4"/>
  <c r="D8" i="4"/>
  <c r="C8" i="4"/>
  <c r="B8" i="4"/>
  <c r="L7" i="4"/>
  <c r="K7" i="4"/>
  <c r="J7" i="4"/>
  <c r="I7" i="4"/>
  <c r="H7" i="4"/>
  <c r="G7" i="4"/>
  <c r="F7" i="4"/>
  <c r="E7" i="4"/>
  <c r="D7" i="4"/>
  <c r="C7" i="4"/>
  <c r="B7" i="4"/>
  <c r="L6" i="4"/>
  <c r="K6" i="4"/>
  <c r="J6" i="4"/>
  <c r="I6" i="4"/>
  <c r="H6" i="4"/>
  <c r="G6" i="4"/>
  <c r="F6" i="4"/>
  <c r="E6" i="4"/>
  <c r="D6" i="4"/>
  <c r="C6" i="4"/>
  <c r="B6" i="4"/>
  <c r="L5" i="4"/>
  <c r="K5" i="4"/>
  <c r="J5" i="4"/>
  <c r="I5" i="4"/>
  <c r="H5" i="4"/>
  <c r="G5" i="4"/>
  <c r="F5" i="4"/>
  <c r="E5" i="4"/>
  <c r="D5" i="4"/>
  <c r="C5" i="4"/>
  <c r="B5" i="4"/>
  <c r="A3" i="4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H6" i="1"/>
  <c r="G6" i="1"/>
  <c r="F6" i="1"/>
  <c r="H5" i="1"/>
  <c r="G5" i="1"/>
  <c r="F5" i="1"/>
  <c r="H4" i="1"/>
  <c r="G4" i="1"/>
  <c r="F4" i="1"/>
  <c r="K56" i="9" l="1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P34" i="9"/>
  <c r="K34" i="9"/>
  <c r="K33" i="9"/>
  <c r="K32" i="9"/>
  <c r="K31" i="9"/>
  <c r="K30" i="9"/>
  <c r="K29" i="9"/>
  <c r="K28" i="9"/>
  <c r="K27" i="9"/>
  <c r="K26" i="9"/>
  <c r="K25" i="9"/>
  <c r="K24" i="9"/>
  <c r="K23" i="9"/>
  <c r="K21" i="9"/>
  <c r="K20" i="9"/>
  <c r="K19" i="9"/>
  <c r="K18" i="9"/>
  <c r="K16" i="9"/>
  <c r="K15" i="9"/>
  <c r="K14" i="9"/>
  <c r="K13" i="9"/>
  <c r="K11" i="9"/>
  <c r="K9" i="9"/>
  <c r="K5" i="9"/>
  <c r="K3" i="9"/>
  <c r="K17" i="9"/>
  <c r="P16" i="9"/>
  <c r="O34" i="9" s="1"/>
  <c r="K12" i="9"/>
  <c r="K10" i="9"/>
  <c r="K8" i="9"/>
  <c r="K7" i="9"/>
  <c r="K6" i="9"/>
  <c r="K4" i="9"/>
</calcChain>
</file>

<file path=xl/sharedStrings.xml><?xml version="1.0" encoding="utf-8"?>
<sst xmlns="http://schemas.openxmlformats.org/spreadsheetml/2006/main" count="342" uniqueCount="196">
  <si>
    <t>SUPUESTOS Y DATOS DEL MECANISMO (sin masa de tornillos)</t>
  </si>
  <si>
    <t>Parámetro</t>
  </si>
  <si>
    <t>Valor</t>
  </si>
  <si>
    <t>Cuerpo</t>
  </si>
  <si>
    <t>Masa (oz)</t>
  </si>
  <si>
    <t>Masa (kg)</t>
  </si>
  <si>
    <t>Peso (N)</t>
  </si>
  <si>
    <t>I_G (kg·m²)</t>
  </si>
  <si>
    <t>AB (m)</t>
  </si>
  <si>
    <t>AB</t>
  </si>
  <si>
    <t>BC (m)</t>
  </si>
  <si>
    <t>BC</t>
  </si>
  <si>
    <t>CD (m)</t>
  </si>
  <si>
    <t>CDP</t>
  </si>
  <si>
    <t>DP (m)</t>
  </si>
  <si>
    <t>D_x (m)</t>
  </si>
  <si>
    <t>D_y (m)</t>
  </si>
  <si>
    <t>ω_AB constante (rad/s)</t>
  </si>
  <si>
    <t>α_AB (rad/s²)</t>
  </si>
  <si>
    <t>g (m/s²)</t>
  </si>
  <si>
    <t>1 oz en kg</t>
  </si>
  <si>
    <t>Nota</t>
  </si>
  <si>
    <t>No se considera la masa de los tornillos.</t>
  </si>
  <si>
    <t>AB rota alrededor del punto fijo A.</t>
  </si>
  <si>
    <t>BC tiene movimiento plano general.</t>
  </si>
  <si>
    <t>CDP rota alrededor del punto fijo D.</t>
  </si>
  <si>
    <t>M_A es un par puro aplicado por el servo.</t>
  </si>
  <si>
    <t>El peso solo entra en ΣF_y; no entra en ΣM_G porque se toma momento respecto al centro de masa.</t>
  </si>
  <si>
    <t>CG de CDP se toma desde C hacia P: CG = 121.28 mm; por tanto DG = 21.28 mm.</t>
  </si>
  <si>
    <t>Se usa r_G/D = -0.2128 r_C/D para CDP.</t>
  </si>
  <si>
    <t>CINEMÁTICA DEL MECANISMO</t>
  </si>
  <si>
    <t>t (s)</t>
  </si>
  <si>
    <t>θ_AB (°)</t>
  </si>
  <si>
    <t>θ_AB (rad)</t>
  </si>
  <si>
    <t>ω_AB</t>
  </si>
  <si>
    <t>α_AB</t>
  </si>
  <si>
    <t>x_B</t>
  </si>
  <si>
    <t>y_B</t>
  </si>
  <si>
    <t>BD=d</t>
  </si>
  <si>
    <t>x_M</t>
  </si>
  <si>
    <t>y_M</t>
  </si>
  <si>
    <t>h</t>
  </si>
  <si>
    <t>x_C</t>
  </si>
  <si>
    <t>y_C</t>
  </si>
  <si>
    <t>x_CB</t>
  </si>
  <si>
    <t>y_CB</t>
  </si>
  <si>
    <t>x_CD</t>
  </si>
  <si>
    <t>y_CD</t>
  </si>
  <si>
    <t>x_PD</t>
  </si>
  <si>
    <t>y_PD</t>
  </si>
  <si>
    <t>v_Bx</t>
  </si>
  <si>
    <t>v_By</t>
  </si>
  <si>
    <t>v_B</t>
  </si>
  <si>
    <t>a_Bx</t>
  </si>
  <si>
    <t>a_By</t>
  </si>
  <si>
    <t>a_B</t>
  </si>
  <si>
    <t>ω_BC</t>
  </si>
  <si>
    <t>ω_CD</t>
  </si>
  <si>
    <t>α_BC</t>
  </si>
  <si>
    <t>α_CD</t>
  </si>
  <si>
    <t>v_Cx</t>
  </si>
  <si>
    <t>v_Cy</t>
  </si>
  <si>
    <t>v_C</t>
  </si>
  <si>
    <t>a_Cx</t>
  </si>
  <si>
    <t>a_Cy</t>
  </si>
  <si>
    <t>a_C</t>
  </si>
  <si>
    <t>v_Px</t>
  </si>
  <si>
    <t>v_Py</t>
  </si>
  <si>
    <t>v_P</t>
  </si>
  <si>
    <t>a_Px</t>
  </si>
  <si>
    <t>a_Py</t>
  </si>
  <si>
    <t>a_P</t>
  </si>
  <si>
    <t>x_GAB</t>
  </si>
  <si>
    <t>y_GAB</t>
  </si>
  <si>
    <t>a_GABx</t>
  </si>
  <si>
    <t>a_GABy</t>
  </si>
  <si>
    <t>x_GBC/B</t>
  </si>
  <si>
    <t>y_GBC/B</t>
  </si>
  <si>
    <t>a_GBCx</t>
  </si>
  <si>
    <t>a_GBCy</t>
  </si>
  <si>
    <t>x_GCDP/D</t>
  </si>
  <si>
    <t>y_GCDP/D</t>
  </si>
  <si>
    <t>a_GCDPx</t>
  </si>
  <si>
    <t>a_GCDPy</t>
  </si>
  <si>
    <t>BC check</t>
  </si>
  <si>
    <t>CD check</t>
  </si>
  <si>
    <t>θ_BC (°)</t>
  </si>
  <si>
    <t>θ_CD (°)</t>
  </si>
  <si>
    <t>RESUMEN CINEMÁTICO</t>
  </si>
  <si>
    <t>v_A</t>
  </si>
  <si>
    <t>a_A</t>
  </si>
  <si>
    <t>v_D</t>
  </si>
  <si>
    <t>a_D</t>
  </si>
  <si>
    <t>Comentario</t>
  </si>
  <si>
    <t>SISTEMA DE ECUACIONES DE REACCIONES (sin masa de tornillos)</t>
  </si>
  <si>
    <t>Ecuación</t>
  </si>
  <si>
    <t>Ax</t>
  </si>
  <si>
    <t>Ay</t>
  </si>
  <si>
    <t>Bx</t>
  </si>
  <si>
    <t>By</t>
  </si>
  <si>
    <t>Cx</t>
  </si>
  <si>
    <t>Cy</t>
  </si>
  <si>
    <t>Dx</t>
  </si>
  <si>
    <t>Dy</t>
  </si>
  <si>
    <t>M_A</t>
  </si>
  <si>
    <t>RHS</t>
  </si>
  <si>
    <t>Residual</t>
  </si>
  <si>
    <t>AB ΣFx</t>
  </si>
  <si>
    <t>AB ΣFy</t>
  </si>
  <si>
    <t>AB ΣM_G</t>
  </si>
  <si>
    <t>BC ΣFx</t>
  </si>
  <si>
    <t>BC ΣFy</t>
  </si>
  <si>
    <t>BC ΣM_G</t>
  </si>
  <si>
    <t>CDP ΣFx</t>
  </si>
  <si>
    <t>CDP ΣFy</t>
  </si>
  <si>
    <t>CDP ΣM_G</t>
  </si>
  <si>
    <t>Soluciones (se muestran en hoja Reacciones)</t>
  </si>
  <si>
    <t>REACCIONES Y TORQUE DEL SERVO (sin masa de tornillos)</t>
  </si>
  <si>
    <t>R_A</t>
  </si>
  <si>
    <t>R_B</t>
  </si>
  <si>
    <t>R_C</t>
  </si>
  <si>
    <t>R_D</t>
  </si>
  <si>
    <t>res_max</t>
  </si>
  <si>
    <t>PROCEDIMIENTO RESUMIDO</t>
  </si>
  <si>
    <t>1. Descripción</t>
  </si>
  <si>
    <t>Mecanismo plano accionado por servo. A es el eje del servo; AB mueve BC; BC mueve la barra CDP que gira alrededor de D; P es el extremo final.</t>
  </si>
  <si>
    <t>2. Supuesto de entrada</t>
  </si>
  <si>
    <t>La velocidad angular del servo se tomó constante: ω_AB = -2.701947 rad/s, por lo tanto α_AB = 0.</t>
  </si>
  <si>
    <t>3. Posición de B</t>
  </si>
  <si>
    <t>x_B=AB*cos(θ_AB), y_B=AB*sin(θ_AB).</t>
  </si>
  <si>
    <t>4. Posición de C</t>
  </si>
  <si>
    <t>Se encuentra por intersección de dos círculos, imponiendo BC=0.1 m y CD=0.1 m.</t>
  </si>
  <si>
    <t>5. Movimiento de AB</t>
  </si>
  <si>
    <t>Rotación pura alrededor de A: v_B=ω_AB(-y_B,x_B), a_B=α_AB(-y_B,x_B)-ω_AB^2(x_B,y_B).</t>
  </si>
  <si>
    <t>6. Movimiento de BC</t>
  </si>
  <si>
    <t>Movimiento plano general: v_C=v_B+ω_BC(-y_CB,x_CB); a_C=a_B+α_BC(-y_CB,x_CB)-ω_BC^2(x_CB,y_CB).</t>
  </si>
  <si>
    <t>7. Movimiento de CDP</t>
  </si>
  <si>
    <t>Rotación pura alrededor de D: v_C=ω_CD(-y_CD,x_CD); a_C=α_CD(-y_CD,x_CD)-ω_CD^2(x_CD,y_CD).</t>
  </si>
  <si>
    <t>8. Punto P</t>
  </si>
  <si>
    <t>r_P/D = -(DP/CD) r_C/D porque P está del lado opuesto a C respecto de D.</t>
  </si>
  <si>
    <t>9. Centros de masa</t>
  </si>
  <si>
    <t>AB y BC son uniformes: G_AB a la mitad de AB y G_BC a la mitad de BC. Para CDP se usa CG=121.28 mm de Inventor, por eso r_G/D=-0.2128 r_C/D.</t>
  </si>
  <si>
    <t>10. Dinámica</t>
  </si>
  <si>
    <t>Para cada barra se usa ΣFx=m a_Gx, ΣFy=m a_Gy y ΣM_G=I_G α. El peso entra en ΣFy, no en ΣM_G porque actúa en G.</t>
  </si>
  <si>
    <t>11. Incógnitas</t>
  </si>
  <si>
    <t>Se resuelven Ax, Ay, Bx, By, Cx, Cy, Dx, Dy y M_A.</t>
  </si>
  <si>
    <t>12. Verificación</t>
  </si>
  <si>
    <t>La auditoría confirma BC=0.100 m, CD=0.100 m y residuos de reacciones del orden de 10^-16 o menor.</t>
  </si>
  <si>
    <t>Ax (N)</t>
  </si>
  <si>
    <t>Ay (N)</t>
  </si>
  <si>
    <t>Bx (N)</t>
  </si>
  <si>
    <t>By (N)</t>
  </si>
  <si>
    <t>Cx (N)</t>
  </si>
  <si>
    <t>Cy (N)</t>
  </si>
  <si>
    <t>Dx (N)</t>
  </si>
  <si>
    <t>Dy (N)</t>
  </si>
  <si>
    <t>MA (N·m)</t>
  </si>
  <si>
    <t>B</t>
  </si>
  <si>
    <t>C</t>
  </si>
  <si>
    <t>D</t>
  </si>
  <si>
    <t>P</t>
  </si>
  <si>
    <t>A</t>
  </si>
  <si>
    <t>T</t>
  </si>
  <si>
    <t>Mag A</t>
  </si>
  <si>
    <t>Mag B</t>
  </si>
  <si>
    <t xml:space="preserve">Mag C </t>
  </si>
  <si>
    <t xml:space="preserve">Mag D </t>
  </si>
  <si>
    <t>w_BC</t>
  </si>
  <si>
    <t>w_CD</t>
  </si>
  <si>
    <t>|vB|</t>
  </si>
  <si>
    <t>|aB|</t>
  </si>
  <si>
    <t>|vC|</t>
  </si>
  <si>
    <t>|aC|</t>
  </si>
  <si>
    <t>|vP|</t>
  </si>
  <si>
    <t>|aP|</t>
  </si>
  <si>
    <t xml:space="preserve">t </t>
  </si>
  <si>
    <t>a ang_BC</t>
  </si>
  <si>
    <t>a ang_CD</t>
  </si>
  <si>
    <t xml:space="preserve">θ Tracker </t>
  </si>
  <si>
    <t xml:space="preserve">θ continuo </t>
  </si>
  <si>
    <t>tiempo</t>
  </si>
  <si>
    <t>posición</t>
  </si>
  <si>
    <t>w rad/s</t>
  </si>
  <si>
    <t>a angular rad/s2</t>
  </si>
  <si>
    <t>Barra AB</t>
  </si>
  <si>
    <t>Medidas del mecanismo</t>
  </si>
  <si>
    <t>-92.1°</t>
  </si>
  <si>
    <t>posición rad</t>
  </si>
  <si>
    <t>-145.3°</t>
  </si>
  <si>
    <t>-185.3°</t>
  </si>
  <si>
    <t>CD</t>
  </si>
  <si>
    <t>-226.8°</t>
  </si>
  <si>
    <t>DP</t>
  </si>
  <si>
    <t>-270.4°</t>
  </si>
  <si>
    <t>-316.4°</t>
  </si>
  <si>
    <t>Velocidad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</si>
</sst>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0E+00"/>
    <numFmt numFmtId="166" formatCode="0.0"/>
    <numFmt numFmtId="167" formatCode="0.000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5" borderId="0" xfId="0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/>
    <xf numFmtId="165" fontId="2" fillId="5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/>
    <xf numFmtId="0" fontId="3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1" xfId="0" applyFill="1" applyBorder="1"/>
    <xf numFmtId="0" fontId="3" fillId="0" borderId="0" xfId="0" applyFont="1" applyAlignment="1">
      <alignment horizontal="left" indent="5"/>
    </xf>
    <xf numFmtId="0" fontId="3" fillId="0" borderId="1" xfId="0" applyFont="1" applyBorder="1" applyAlignment="1">
      <alignment horizontal="left" indent="5"/>
    </xf>
    <xf numFmtId="0" fontId="0" fillId="0" borderId="5" xfId="0" applyBorder="1" applyAlignment="1">
      <alignment horizontal="right" vertical="center" wrapText="1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Velocidad</a:t>
            </a:r>
            <a:r>
              <a:rPr lang="en-US" baseline="0"/>
              <a:t> B</a:t>
            </a:r>
            <a:endParaRPr lang="en-US"/>
          </a:p>
        </c:rich>
      </c:tx>
      <c:layout>
        <c:manualLayout>
          <c:xMode val="edge"/>
          <c:yMode val="edge"/>
          <c:x val="0.41924300087489064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01159230096238E-2"/>
          <c:y val="0.15319444444444447"/>
          <c:w val="0.9097292213473315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Graficas!$C$2:$C$7</c:f>
              <c:numCache>
                <c:formatCode>General</c:formatCode>
                <c:ptCount val="6"/>
                <c:pt idx="0">
                  <c:v>-145.30000000000001</c:v>
                </c:pt>
                <c:pt idx="1">
                  <c:v>-185.3</c:v>
                </c:pt>
                <c:pt idx="2">
                  <c:v>-226.8</c:v>
                </c:pt>
                <c:pt idx="3">
                  <c:v>-246.9</c:v>
                </c:pt>
                <c:pt idx="4">
                  <c:v>-270.39999999999998</c:v>
                </c:pt>
                <c:pt idx="5">
                  <c:v>-316.39999999999998</c:v>
                </c:pt>
              </c:numCache>
            </c:numRef>
          </c:xVal>
          <c:yVal>
            <c:numRef>
              <c:f>Graficas!$F$11:$F$16</c:f>
              <c:numCache>
                <c:formatCode>General</c:formatCode>
                <c:ptCount val="6"/>
                <c:pt idx="0">
                  <c:v>0.1351</c:v>
                </c:pt>
                <c:pt idx="1">
                  <c:v>0.1351</c:v>
                </c:pt>
                <c:pt idx="2">
                  <c:v>0.1351</c:v>
                </c:pt>
                <c:pt idx="3">
                  <c:v>0.1351</c:v>
                </c:pt>
                <c:pt idx="4">
                  <c:v>0.1351</c:v>
                </c:pt>
                <c:pt idx="5">
                  <c:v>0.1351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4-43E9-AD98-14DB351F7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80528"/>
        <c:axId val="884378608"/>
      </c:scatterChart>
      <c:valAx>
        <c:axId val="88438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posición angular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1328813991836894"/>
              <c:y val="0.80500838567529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78608"/>
        <c:crosses val="autoZero"/>
        <c:crossBetween val="midCat"/>
      </c:valAx>
      <c:valAx>
        <c:axId val="8843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velocidad</a:t>
                </a:r>
                <a:r>
                  <a:rPr lang="en-US" baseline="0"/>
                  <a:t> total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7831078648706854E-2"/>
              <c:y val="0.35454249099594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8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Aceleración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Graficas!$C$2:$C$7</c:f>
              <c:numCache>
                <c:formatCode>General</c:formatCode>
                <c:ptCount val="6"/>
                <c:pt idx="0">
                  <c:v>-145.30000000000001</c:v>
                </c:pt>
                <c:pt idx="1">
                  <c:v>-185.3</c:v>
                </c:pt>
                <c:pt idx="2">
                  <c:v>-226.8</c:v>
                </c:pt>
                <c:pt idx="3">
                  <c:v>-246.9</c:v>
                </c:pt>
                <c:pt idx="4">
                  <c:v>-270.39999999999998</c:v>
                </c:pt>
                <c:pt idx="5">
                  <c:v>-316.39999999999998</c:v>
                </c:pt>
              </c:numCache>
            </c:numRef>
          </c:xVal>
          <c:yVal>
            <c:numRef>
              <c:f>Graficas!$G$11:$G$16</c:f>
              <c:numCache>
                <c:formatCode>General</c:formatCode>
                <c:ptCount val="6"/>
                <c:pt idx="0">
                  <c:v>0.36499999999999999</c:v>
                </c:pt>
                <c:pt idx="1">
                  <c:v>0.36499999999999999</c:v>
                </c:pt>
                <c:pt idx="2">
                  <c:v>0.36499999999999999</c:v>
                </c:pt>
                <c:pt idx="3">
                  <c:v>0.36499999999999999</c:v>
                </c:pt>
                <c:pt idx="4">
                  <c:v>0.36499999999999999</c:v>
                </c:pt>
                <c:pt idx="5">
                  <c:v>0.36499999999999999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57-47A4-B1A2-92D185F6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752592"/>
        <c:axId val="664109024"/>
      </c:scatterChart>
      <c:valAx>
        <c:axId val="75975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posición angular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09024"/>
        <c:crosses val="autoZero"/>
        <c:crossBetween val="midCat"/>
      </c:valAx>
      <c:valAx>
        <c:axId val="66410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aceleración 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75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Velocidad</a:t>
            </a:r>
            <a:r>
              <a:rPr lang="en-US" baseline="0"/>
              <a:t> C</a:t>
            </a:r>
            <a:endParaRPr lang="en-US"/>
          </a:p>
        </c:rich>
      </c:tx>
      <c:layout>
        <c:manualLayout>
          <c:xMode val="edge"/>
          <c:yMode val="edge"/>
          <c:x val="0.41924300087489064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01159230096238E-2"/>
          <c:y val="0.15319444444444447"/>
          <c:w val="0.9097292213473315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Graficas!$D$2:$D$7</c:f>
              <c:numCache>
                <c:formatCode>General</c:formatCode>
                <c:ptCount val="6"/>
                <c:pt idx="0">
                  <c:v>93.8</c:v>
                </c:pt>
                <c:pt idx="1">
                  <c:v>93.6</c:v>
                </c:pt>
                <c:pt idx="2">
                  <c:v>88.32</c:v>
                </c:pt>
                <c:pt idx="3">
                  <c:v>85.58</c:v>
                </c:pt>
                <c:pt idx="4">
                  <c:v>83.66</c:v>
                </c:pt>
                <c:pt idx="5">
                  <c:v>88.29</c:v>
                </c:pt>
              </c:numCache>
            </c:numRef>
          </c:xVal>
          <c:yVal>
            <c:numRef>
              <c:f>Graficas!$H$11:$H$16</c:f>
              <c:numCache>
                <c:formatCode>General</c:formatCode>
                <c:ptCount val="6"/>
                <c:pt idx="0">
                  <c:v>8.9800000000000005E-2</c:v>
                </c:pt>
                <c:pt idx="1">
                  <c:v>0.13500000000000001</c:v>
                </c:pt>
                <c:pt idx="2">
                  <c:v>0.1232</c:v>
                </c:pt>
                <c:pt idx="3">
                  <c:v>9.2200000000000004E-2</c:v>
                </c:pt>
                <c:pt idx="4">
                  <c:v>2.4199999999999999E-2</c:v>
                </c:pt>
                <c:pt idx="5">
                  <c:v>0.17369999999999999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B4-4AF2-B3E2-9E99AE67A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80528"/>
        <c:axId val="884378608"/>
      </c:scatterChart>
      <c:valAx>
        <c:axId val="88438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posición angular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1328813991836894"/>
              <c:y val="0.80500838567529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78608"/>
        <c:crosses val="autoZero"/>
        <c:crossBetween val="midCat"/>
      </c:valAx>
      <c:valAx>
        <c:axId val="8843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velocidad</a:t>
                </a:r>
                <a:r>
                  <a:rPr lang="en-US" baseline="0"/>
                  <a:t> total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3186936176122758E-2"/>
              <c:y val="0.35454249099594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8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Aceleración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Graficas!$D$2:$D$7</c:f>
              <c:numCache>
                <c:formatCode>General</c:formatCode>
                <c:ptCount val="6"/>
                <c:pt idx="0">
                  <c:v>93.8</c:v>
                </c:pt>
                <c:pt idx="1">
                  <c:v>93.6</c:v>
                </c:pt>
                <c:pt idx="2">
                  <c:v>88.32</c:v>
                </c:pt>
                <c:pt idx="3">
                  <c:v>85.58</c:v>
                </c:pt>
                <c:pt idx="4">
                  <c:v>83.66</c:v>
                </c:pt>
                <c:pt idx="5">
                  <c:v>88.29</c:v>
                </c:pt>
              </c:numCache>
            </c:numRef>
          </c:xVal>
          <c:yVal>
            <c:numRef>
              <c:f>Graficas!$I$11:$I$16</c:f>
              <c:numCache>
                <c:formatCode>General</c:formatCode>
                <c:ptCount val="6"/>
                <c:pt idx="0">
                  <c:v>0.27529999999999999</c:v>
                </c:pt>
                <c:pt idx="1">
                  <c:v>0.19500000000000001</c:v>
                </c:pt>
                <c:pt idx="2">
                  <c:v>0.22389999999999999</c:v>
                </c:pt>
                <c:pt idx="3">
                  <c:v>0.33400000000000002</c:v>
                </c:pt>
                <c:pt idx="4">
                  <c:v>0.58440000000000003</c:v>
                </c:pt>
                <c:pt idx="5">
                  <c:v>0.47710000000000002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78-4A75-877E-7BB5C9455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752592"/>
        <c:axId val="664109024"/>
      </c:scatterChart>
      <c:valAx>
        <c:axId val="75975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posición angular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09024"/>
        <c:crosses val="autoZero"/>
        <c:crossBetween val="midCat"/>
      </c:valAx>
      <c:valAx>
        <c:axId val="66410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aceleración 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75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Velocidad</a:t>
            </a:r>
            <a:r>
              <a:rPr lang="en-US" baseline="0"/>
              <a:t> P</a:t>
            </a:r>
            <a:endParaRPr lang="en-US"/>
          </a:p>
        </c:rich>
      </c:tx>
      <c:layout>
        <c:manualLayout>
          <c:xMode val="edge"/>
          <c:yMode val="edge"/>
          <c:x val="0.41924300087489064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01159230096238E-2"/>
          <c:y val="0.15319444444444447"/>
          <c:w val="0.9097292213473315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Graficas!$F$2:$F$7</c:f>
              <c:numCache>
                <c:formatCode>General</c:formatCode>
                <c:ptCount val="6"/>
                <c:pt idx="0">
                  <c:v>27.77</c:v>
                </c:pt>
                <c:pt idx="1">
                  <c:v>19.59</c:v>
                </c:pt>
                <c:pt idx="2">
                  <c:v>9.92</c:v>
                </c:pt>
                <c:pt idx="3">
                  <c:v>6.15</c:v>
                </c:pt>
                <c:pt idx="4">
                  <c:v>3.69</c:v>
                </c:pt>
                <c:pt idx="5">
                  <c:v>9.8800000000000008</c:v>
                </c:pt>
              </c:numCache>
            </c:numRef>
          </c:xVal>
          <c:yVal>
            <c:numRef>
              <c:f>Graficas!$J$11:$J$16</c:f>
              <c:numCache>
                <c:formatCode>General</c:formatCode>
                <c:ptCount val="6"/>
                <c:pt idx="0">
                  <c:v>0.1033</c:v>
                </c:pt>
                <c:pt idx="1">
                  <c:v>0.1552</c:v>
                </c:pt>
                <c:pt idx="2">
                  <c:v>0.14169999999999999</c:v>
                </c:pt>
                <c:pt idx="3">
                  <c:v>0.106</c:v>
                </c:pt>
                <c:pt idx="4">
                  <c:v>2.7799999999999998E-2</c:v>
                </c:pt>
                <c:pt idx="5">
                  <c:v>0.19980000000000001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E7-4472-A64C-3951E885B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80528"/>
        <c:axId val="884378608"/>
      </c:scatterChart>
      <c:valAx>
        <c:axId val="88438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posición angular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1328813991836894"/>
              <c:y val="0.80500838567529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78608"/>
        <c:crosses val="autoZero"/>
        <c:crossBetween val="midCat"/>
      </c:valAx>
      <c:valAx>
        <c:axId val="8843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velocidad</a:t>
                </a:r>
                <a:r>
                  <a:rPr lang="en-US" baseline="0"/>
                  <a:t> total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3186936176122758E-2"/>
              <c:y val="0.35454249099594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8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Aceleración 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Graficas!$F$2:$F$7</c:f>
              <c:numCache>
                <c:formatCode>General</c:formatCode>
                <c:ptCount val="6"/>
                <c:pt idx="0">
                  <c:v>27.77</c:v>
                </c:pt>
                <c:pt idx="1">
                  <c:v>19.59</c:v>
                </c:pt>
                <c:pt idx="2">
                  <c:v>9.92</c:v>
                </c:pt>
                <c:pt idx="3">
                  <c:v>6.15</c:v>
                </c:pt>
                <c:pt idx="4">
                  <c:v>3.69</c:v>
                </c:pt>
                <c:pt idx="5">
                  <c:v>9.8800000000000008</c:v>
                </c:pt>
              </c:numCache>
            </c:numRef>
          </c:xVal>
          <c:yVal>
            <c:numRef>
              <c:f>Graficas!$K$11:$K$16</c:f>
              <c:numCache>
                <c:formatCode>General</c:formatCode>
                <c:ptCount val="6"/>
                <c:pt idx="0">
                  <c:v>0.31659999999999999</c:v>
                </c:pt>
                <c:pt idx="1">
                  <c:v>0.22420000000000001</c:v>
                </c:pt>
                <c:pt idx="2">
                  <c:v>0.25750000000000001</c:v>
                </c:pt>
                <c:pt idx="3">
                  <c:v>0.3841</c:v>
                </c:pt>
                <c:pt idx="4">
                  <c:v>0.67210000000000003</c:v>
                </c:pt>
                <c:pt idx="5">
                  <c:v>0.54869999999999997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42-4DC9-9102-0680E4F7D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752592"/>
        <c:axId val="664109024"/>
      </c:scatterChart>
      <c:valAx>
        <c:axId val="75975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posición angular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09024"/>
        <c:crosses val="autoZero"/>
        <c:crossBetween val="midCat"/>
      </c:valAx>
      <c:valAx>
        <c:axId val="66410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aceleración 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75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Reacción</a:t>
            </a:r>
            <a:r>
              <a:rPr lang="en-US" baseline="0"/>
              <a:t> A</a:t>
            </a:r>
            <a:endParaRPr lang="en-US"/>
          </a:p>
        </c:rich>
      </c:tx>
      <c:layout>
        <c:manualLayout>
          <c:xMode val="edge"/>
          <c:yMode val="edge"/>
          <c:x val="0.41924300087489064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01159230096238E-2"/>
          <c:y val="0.15319444444444447"/>
          <c:w val="0.9097292213473315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Graficas!$B$2:$B$7</c:f>
              <c:numCache>
                <c:formatCode>General</c:formatCode>
                <c:ptCount val="6"/>
                <c:pt idx="0">
                  <c:v>-145.30000000000001</c:v>
                </c:pt>
                <c:pt idx="1">
                  <c:v>-185.3</c:v>
                </c:pt>
                <c:pt idx="2">
                  <c:v>-226.8</c:v>
                </c:pt>
                <c:pt idx="3">
                  <c:v>-246.9</c:v>
                </c:pt>
                <c:pt idx="4">
                  <c:v>-270.39999999999998</c:v>
                </c:pt>
                <c:pt idx="5">
                  <c:v>-316.39999999999998</c:v>
                </c:pt>
              </c:numCache>
            </c:numRef>
          </c:xVal>
          <c:yVal>
            <c:numRef>
              <c:f>Graficas!$S$2:$S$7</c:f>
              <c:numCache>
                <c:formatCode>General</c:formatCode>
                <c:ptCount val="6"/>
                <c:pt idx="0">
                  <c:v>4.876060600525798E-2</c:v>
                </c:pt>
                <c:pt idx="1">
                  <c:v>4.6436114232351527E-2</c:v>
                </c:pt>
                <c:pt idx="2">
                  <c:v>4.4163984116019246E-2</c:v>
                </c:pt>
                <c:pt idx="3">
                  <c:v>4.2588377534252223E-2</c:v>
                </c:pt>
                <c:pt idx="4">
                  <c:v>3.9484631706526024E-2</c:v>
                </c:pt>
                <c:pt idx="5">
                  <c:v>4.0143988354422386E-2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D1-41D0-B754-FAAB74708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80528"/>
        <c:axId val="884378608"/>
      </c:scatterChart>
      <c:valAx>
        <c:axId val="88438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posición angular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1328813991836894"/>
              <c:y val="0.80500838567529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78608"/>
        <c:crosses val="autoZero"/>
        <c:crossBetween val="midCat"/>
      </c:valAx>
      <c:valAx>
        <c:axId val="8843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 reacción (N)</a:t>
                </a:r>
              </a:p>
            </c:rich>
          </c:tx>
          <c:layout>
            <c:manualLayout>
              <c:xMode val="edge"/>
              <c:yMode val="edge"/>
              <c:x val="8.3186936176122758E-2"/>
              <c:y val="0.35454249099594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8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Reacción</a:t>
            </a:r>
            <a:r>
              <a:rPr lang="en-US" baseline="0"/>
              <a:t> B</a:t>
            </a:r>
            <a:endParaRPr lang="en-US"/>
          </a:p>
        </c:rich>
      </c:tx>
      <c:layout>
        <c:manualLayout>
          <c:xMode val="edge"/>
          <c:yMode val="edge"/>
          <c:x val="0.41924300087489064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01159230096238E-2"/>
          <c:y val="0.15319444444444447"/>
          <c:w val="0.9097292213473315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Graficas!$C$2:$C$7</c:f>
              <c:numCache>
                <c:formatCode>General</c:formatCode>
                <c:ptCount val="6"/>
                <c:pt idx="0">
                  <c:v>-145.30000000000001</c:v>
                </c:pt>
                <c:pt idx="1">
                  <c:v>-185.3</c:v>
                </c:pt>
                <c:pt idx="2">
                  <c:v>-226.8</c:v>
                </c:pt>
                <c:pt idx="3">
                  <c:v>-246.9</c:v>
                </c:pt>
                <c:pt idx="4">
                  <c:v>-270.39999999999998</c:v>
                </c:pt>
                <c:pt idx="5">
                  <c:v>-316.39999999999998</c:v>
                </c:pt>
              </c:numCache>
            </c:numRef>
          </c:xVal>
          <c:yVal>
            <c:numRef>
              <c:f>Graficas!$T$2:$T$7</c:f>
              <c:numCache>
                <c:formatCode>General</c:formatCode>
                <c:ptCount val="6"/>
                <c:pt idx="0">
                  <c:v>2.0652683312344669E-2</c:v>
                </c:pt>
                <c:pt idx="1">
                  <c:v>1.867754461914092E-2</c:v>
                </c:pt>
                <c:pt idx="2">
                  <c:v>1.6758964765163746E-2</c:v>
                </c:pt>
                <c:pt idx="3">
                  <c:v>1.5304226246367373E-2</c:v>
                </c:pt>
                <c:pt idx="4">
                  <c:v>1.2258515448454597E-2</c:v>
                </c:pt>
                <c:pt idx="5">
                  <c:v>1.2848021248425767E-2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3-4ACA-B978-17B2DD9F6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80528"/>
        <c:axId val="884378608"/>
      </c:scatterChart>
      <c:valAx>
        <c:axId val="88438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posición angular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1328813991836894"/>
              <c:y val="0.80500838567529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78608"/>
        <c:crosses val="autoZero"/>
        <c:crossBetween val="midCat"/>
      </c:valAx>
      <c:valAx>
        <c:axId val="8843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 reacción (N)</a:t>
                </a:r>
              </a:p>
            </c:rich>
          </c:tx>
          <c:layout>
            <c:manualLayout>
              <c:xMode val="edge"/>
              <c:yMode val="edge"/>
              <c:x val="8.3186936176122758E-2"/>
              <c:y val="0.35454249099594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8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Reacción</a:t>
            </a:r>
            <a:r>
              <a:rPr lang="en-US" baseline="0"/>
              <a:t> C</a:t>
            </a:r>
            <a:endParaRPr lang="en-US"/>
          </a:p>
        </c:rich>
      </c:tx>
      <c:layout>
        <c:manualLayout>
          <c:xMode val="edge"/>
          <c:yMode val="edge"/>
          <c:x val="0.41924300087489064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01159230096238E-2"/>
          <c:y val="0.15319444444444447"/>
          <c:w val="0.90972922134733158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Graficas!$D$2:$D$6</c:f>
              <c:numCache>
                <c:formatCode>General</c:formatCode>
                <c:ptCount val="5"/>
                <c:pt idx="0">
                  <c:v>93.8</c:v>
                </c:pt>
                <c:pt idx="1">
                  <c:v>93.6</c:v>
                </c:pt>
                <c:pt idx="2">
                  <c:v>88.32</c:v>
                </c:pt>
                <c:pt idx="3">
                  <c:v>85.58</c:v>
                </c:pt>
                <c:pt idx="4">
                  <c:v>83.66</c:v>
                </c:pt>
              </c:numCache>
            </c:numRef>
          </c:xVal>
          <c:yVal>
            <c:numRef>
              <c:f>Graficas!$U$2:$U$6</c:f>
              <c:numCache>
                <c:formatCode>General</c:formatCode>
                <c:ptCount val="5"/>
                <c:pt idx="0">
                  <c:v>2.2095190653171563E-2</c:v>
                </c:pt>
                <c:pt idx="1">
                  <c:v>2.3136287083281103E-2</c:v>
                </c:pt>
                <c:pt idx="2">
                  <c:v>2.4033724243237877E-2</c:v>
                </c:pt>
                <c:pt idx="3">
                  <c:v>2.5143108260515447E-2</c:v>
                </c:pt>
                <c:pt idx="4">
                  <c:v>2.7824490866860438E-2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3C-47AC-A35A-3FB3E593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80528"/>
        <c:axId val="884378608"/>
      </c:scatterChart>
      <c:valAx>
        <c:axId val="88438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posición angular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1328813991836894"/>
              <c:y val="0.80500838567529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78608"/>
        <c:crosses val="autoZero"/>
        <c:crossBetween val="midCat"/>
      </c:valAx>
      <c:valAx>
        <c:axId val="8843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 reacción (N)</a:t>
                </a:r>
              </a:p>
            </c:rich>
          </c:tx>
          <c:layout>
            <c:manualLayout>
              <c:xMode val="edge"/>
              <c:yMode val="edge"/>
              <c:x val="8.3186936176122758E-2"/>
              <c:y val="0.35454249099594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8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Reacción</a:t>
            </a:r>
            <a:r>
              <a:rPr lang="en-US" baseline="0"/>
              <a:t> D</a:t>
            </a:r>
            <a:endParaRPr lang="en-US"/>
          </a:p>
        </c:rich>
      </c:tx>
      <c:layout>
        <c:manualLayout>
          <c:xMode val="edge"/>
          <c:yMode val="edge"/>
          <c:x val="0.41924300087489064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01159230096238E-2"/>
          <c:y val="0.15319444444444447"/>
          <c:w val="0.9097292213473315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Graficas!$E$2:$E$7</c:f>
              <c:numCache>
                <c:formatCode>General</c:formatCode>
                <c:ptCount val="6"/>
                <c:pt idx="0">
                  <c:v>42.24</c:v>
                </c:pt>
                <c:pt idx="1">
                  <c:v>42.24</c:v>
                </c:pt>
                <c:pt idx="2">
                  <c:v>42.24</c:v>
                </c:pt>
                <c:pt idx="3">
                  <c:v>42.24</c:v>
                </c:pt>
                <c:pt idx="4">
                  <c:v>42.24</c:v>
                </c:pt>
                <c:pt idx="5">
                  <c:v>42.24</c:v>
                </c:pt>
              </c:numCache>
            </c:numRef>
          </c:xVal>
          <c:yVal>
            <c:numRef>
              <c:f>Graficas!$V$2:$V$7</c:f>
              <c:numCache>
                <c:formatCode>General</c:formatCode>
                <c:ptCount val="6"/>
                <c:pt idx="0">
                  <c:v>0.13267180789451843</c:v>
                </c:pt>
                <c:pt idx="1">
                  <c:v>0.13420476579093607</c:v>
                </c:pt>
                <c:pt idx="2">
                  <c:v>0.13574035949930294</c:v>
                </c:pt>
                <c:pt idx="3">
                  <c:v>0.13711269774167525</c:v>
                </c:pt>
                <c:pt idx="4">
                  <c:v>0.14016372396950647</c:v>
                </c:pt>
                <c:pt idx="5">
                  <c:v>0.1399423916938681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A6-4DBF-B96F-F3F2163BB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80528"/>
        <c:axId val="884378608"/>
      </c:scatterChart>
      <c:valAx>
        <c:axId val="88438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posición angular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1328813991836894"/>
              <c:y val="0.80500838567529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78608"/>
        <c:crosses val="autoZero"/>
        <c:crossBetween val="midCat"/>
      </c:valAx>
      <c:valAx>
        <c:axId val="8843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 reacción (N)</a:t>
                </a:r>
              </a:p>
            </c:rich>
          </c:tx>
          <c:layout>
            <c:manualLayout>
              <c:xMode val="edge"/>
              <c:yMode val="edge"/>
              <c:x val="8.3186936176122758E-2"/>
              <c:y val="0.35454249099594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8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Velocidad</a:t>
            </a:r>
            <a:r>
              <a:rPr lang="en-US" baseline="0"/>
              <a:t> B</a:t>
            </a:r>
            <a:endParaRPr lang="en-US"/>
          </a:p>
        </c:rich>
      </c:tx>
      <c:layout>
        <c:manualLayout>
          <c:xMode val="edge"/>
          <c:yMode val="edge"/>
          <c:x val="0.41924300087489064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01159230096238E-2"/>
          <c:y val="0.15319444444444447"/>
          <c:w val="0.9097292213473315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Graficas!$C$2:$C$7</c:f>
              <c:numCache>
                <c:formatCode>General</c:formatCode>
                <c:ptCount val="6"/>
                <c:pt idx="0">
                  <c:v>-145.30000000000001</c:v>
                </c:pt>
                <c:pt idx="1">
                  <c:v>-185.3</c:v>
                </c:pt>
                <c:pt idx="2">
                  <c:v>-226.8</c:v>
                </c:pt>
                <c:pt idx="3">
                  <c:v>-246.9</c:v>
                </c:pt>
                <c:pt idx="4">
                  <c:v>-270.39999999999998</c:v>
                </c:pt>
                <c:pt idx="5">
                  <c:v>-316.39999999999998</c:v>
                </c:pt>
              </c:numCache>
            </c:numRef>
          </c:xVal>
          <c:yVal>
            <c:numRef>
              <c:f>Graficas!$F$11:$F$16</c:f>
              <c:numCache>
                <c:formatCode>General</c:formatCode>
                <c:ptCount val="6"/>
                <c:pt idx="0">
                  <c:v>0.1351</c:v>
                </c:pt>
                <c:pt idx="1">
                  <c:v>0.1351</c:v>
                </c:pt>
                <c:pt idx="2">
                  <c:v>0.1351</c:v>
                </c:pt>
                <c:pt idx="3">
                  <c:v>0.1351</c:v>
                </c:pt>
                <c:pt idx="4">
                  <c:v>0.1351</c:v>
                </c:pt>
                <c:pt idx="5">
                  <c:v>0.1351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4-43E9-AD98-14DB351F7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80528"/>
        <c:axId val="884378608"/>
      </c:scatterChart>
      <c:valAx>
        <c:axId val="88438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posición angular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1328813991836894"/>
              <c:y val="0.80500838567529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78608"/>
        <c:crosses val="autoZero"/>
        <c:crossBetween val="midCat"/>
      </c:valAx>
      <c:valAx>
        <c:axId val="8843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velocidad</a:t>
                </a:r>
                <a:r>
                  <a:rPr lang="en-US" baseline="0"/>
                  <a:t> total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7831078648706854E-2"/>
              <c:y val="0.35454249099594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8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Aceleración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Graficas!$C$2:$C$7</c:f>
              <c:numCache>
                <c:formatCode>General</c:formatCode>
                <c:ptCount val="6"/>
                <c:pt idx="0">
                  <c:v>-145.30000000000001</c:v>
                </c:pt>
                <c:pt idx="1">
                  <c:v>-185.3</c:v>
                </c:pt>
                <c:pt idx="2">
                  <c:v>-226.8</c:v>
                </c:pt>
                <c:pt idx="3">
                  <c:v>-246.9</c:v>
                </c:pt>
                <c:pt idx="4">
                  <c:v>-270.39999999999998</c:v>
                </c:pt>
                <c:pt idx="5">
                  <c:v>-316.39999999999998</c:v>
                </c:pt>
              </c:numCache>
            </c:numRef>
          </c:xVal>
          <c:yVal>
            <c:numRef>
              <c:f>Graficas!$G$11:$G$16</c:f>
              <c:numCache>
                <c:formatCode>General</c:formatCode>
                <c:ptCount val="6"/>
                <c:pt idx="0">
                  <c:v>0.36499999999999999</c:v>
                </c:pt>
                <c:pt idx="1">
                  <c:v>0.36499999999999999</c:v>
                </c:pt>
                <c:pt idx="2">
                  <c:v>0.36499999999999999</c:v>
                </c:pt>
                <c:pt idx="3">
                  <c:v>0.36499999999999999</c:v>
                </c:pt>
                <c:pt idx="4">
                  <c:v>0.36499999999999999</c:v>
                </c:pt>
                <c:pt idx="5">
                  <c:v>0.36499999999999999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57-47A4-B1A2-92D185F6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752592"/>
        <c:axId val="664109024"/>
      </c:scatterChart>
      <c:valAx>
        <c:axId val="75975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posición angular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09024"/>
        <c:crosses val="autoZero"/>
        <c:crossBetween val="midCat"/>
      </c:valAx>
      <c:valAx>
        <c:axId val="66410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aceleración 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75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Velocidad</a:t>
            </a:r>
            <a:r>
              <a:rPr lang="en-US" baseline="0"/>
              <a:t> C</a:t>
            </a:r>
            <a:endParaRPr lang="en-US"/>
          </a:p>
        </c:rich>
      </c:tx>
      <c:layout>
        <c:manualLayout>
          <c:xMode val="edge"/>
          <c:yMode val="edge"/>
          <c:x val="0.41924300087489064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01159230096238E-2"/>
          <c:y val="0.15319444444444447"/>
          <c:w val="0.90972922134733158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Graficas!$D$2:$D$6</c:f>
              <c:numCache>
                <c:formatCode>General</c:formatCode>
                <c:ptCount val="5"/>
                <c:pt idx="0">
                  <c:v>93.8</c:v>
                </c:pt>
                <c:pt idx="1">
                  <c:v>93.6</c:v>
                </c:pt>
                <c:pt idx="2">
                  <c:v>88.32</c:v>
                </c:pt>
                <c:pt idx="3">
                  <c:v>85.58</c:v>
                </c:pt>
                <c:pt idx="4">
                  <c:v>83.66</c:v>
                </c:pt>
              </c:numCache>
            </c:numRef>
          </c:xVal>
          <c:yVal>
            <c:numRef>
              <c:f>Graficas!$H$11:$H$15</c:f>
              <c:numCache>
                <c:formatCode>General</c:formatCode>
                <c:ptCount val="5"/>
                <c:pt idx="0">
                  <c:v>8.9800000000000005E-2</c:v>
                </c:pt>
                <c:pt idx="1">
                  <c:v>0.13500000000000001</c:v>
                </c:pt>
                <c:pt idx="2">
                  <c:v>0.1232</c:v>
                </c:pt>
                <c:pt idx="3">
                  <c:v>9.2200000000000004E-2</c:v>
                </c:pt>
                <c:pt idx="4">
                  <c:v>2.4199999999999999E-2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B4-4AF2-B3E2-9E99AE67A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80528"/>
        <c:axId val="884378608"/>
      </c:scatterChart>
      <c:valAx>
        <c:axId val="88438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posición angular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1328813991836894"/>
              <c:y val="0.80500838567529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78608"/>
        <c:crosses val="autoZero"/>
        <c:crossBetween val="midCat"/>
      </c:valAx>
      <c:valAx>
        <c:axId val="8843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velocidad</a:t>
                </a:r>
                <a:r>
                  <a:rPr lang="en-US" baseline="0"/>
                  <a:t> total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3186936176122758E-2"/>
              <c:y val="0.35454249099594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8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Aceleración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Graficas!$D$2:$D$6</c:f>
              <c:numCache>
                <c:formatCode>General</c:formatCode>
                <c:ptCount val="5"/>
                <c:pt idx="0">
                  <c:v>93.8</c:v>
                </c:pt>
                <c:pt idx="1">
                  <c:v>93.6</c:v>
                </c:pt>
                <c:pt idx="2">
                  <c:v>88.32</c:v>
                </c:pt>
                <c:pt idx="3">
                  <c:v>85.58</c:v>
                </c:pt>
                <c:pt idx="4">
                  <c:v>83.66</c:v>
                </c:pt>
              </c:numCache>
            </c:numRef>
          </c:xVal>
          <c:yVal>
            <c:numRef>
              <c:f>Graficas!$I$11:$I$15</c:f>
              <c:numCache>
                <c:formatCode>General</c:formatCode>
                <c:ptCount val="5"/>
                <c:pt idx="0">
                  <c:v>0.27529999999999999</c:v>
                </c:pt>
                <c:pt idx="1">
                  <c:v>0.19500000000000001</c:v>
                </c:pt>
                <c:pt idx="2">
                  <c:v>0.22389999999999999</c:v>
                </c:pt>
                <c:pt idx="3">
                  <c:v>0.33400000000000002</c:v>
                </c:pt>
                <c:pt idx="4">
                  <c:v>0.58440000000000003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78-4A75-877E-7BB5C9455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752592"/>
        <c:axId val="664109024"/>
      </c:scatterChart>
      <c:valAx>
        <c:axId val="75975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posición angular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09024"/>
        <c:crosses val="autoZero"/>
        <c:crossBetween val="midCat"/>
      </c:valAx>
      <c:valAx>
        <c:axId val="66410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aceleración 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75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Velocidad</a:t>
            </a:r>
            <a:r>
              <a:rPr lang="en-US" baseline="0"/>
              <a:t> P</a:t>
            </a:r>
            <a:endParaRPr lang="en-US"/>
          </a:p>
        </c:rich>
      </c:tx>
      <c:layout>
        <c:manualLayout>
          <c:xMode val="edge"/>
          <c:yMode val="edge"/>
          <c:x val="0.41924300087489064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01159230096238E-2"/>
          <c:y val="0.15319444444444447"/>
          <c:w val="0.90972922134733158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Graficas!$F$2:$F$6</c:f>
              <c:numCache>
                <c:formatCode>General</c:formatCode>
                <c:ptCount val="5"/>
                <c:pt idx="0">
                  <c:v>27.77</c:v>
                </c:pt>
                <c:pt idx="1">
                  <c:v>19.59</c:v>
                </c:pt>
                <c:pt idx="2">
                  <c:v>9.92</c:v>
                </c:pt>
                <c:pt idx="3">
                  <c:v>6.15</c:v>
                </c:pt>
                <c:pt idx="4">
                  <c:v>3.69</c:v>
                </c:pt>
              </c:numCache>
            </c:numRef>
          </c:xVal>
          <c:yVal>
            <c:numRef>
              <c:f>Graficas!$J$11:$J$15</c:f>
              <c:numCache>
                <c:formatCode>General</c:formatCode>
                <c:ptCount val="5"/>
                <c:pt idx="0">
                  <c:v>0.1033</c:v>
                </c:pt>
                <c:pt idx="1">
                  <c:v>0.1552</c:v>
                </c:pt>
                <c:pt idx="2">
                  <c:v>0.14169999999999999</c:v>
                </c:pt>
                <c:pt idx="3">
                  <c:v>0.106</c:v>
                </c:pt>
                <c:pt idx="4">
                  <c:v>2.7799999999999998E-2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E7-4472-A64C-3951E885B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80528"/>
        <c:axId val="884378608"/>
      </c:scatterChart>
      <c:valAx>
        <c:axId val="88438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posición angular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1328813991836894"/>
              <c:y val="0.80500838567529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78608"/>
        <c:crosses val="autoZero"/>
        <c:crossBetween val="midCat"/>
      </c:valAx>
      <c:valAx>
        <c:axId val="8843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velocidad</a:t>
                </a:r>
                <a:r>
                  <a:rPr lang="en-US" baseline="0"/>
                  <a:t> total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3186936176122758E-2"/>
              <c:y val="0.35454249099594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38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Aceleración 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Graficas!$F$2:$F$6</c:f>
              <c:numCache>
                <c:formatCode>General</c:formatCode>
                <c:ptCount val="5"/>
                <c:pt idx="0">
                  <c:v>27.77</c:v>
                </c:pt>
                <c:pt idx="1">
                  <c:v>19.59</c:v>
                </c:pt>
                <c:pt idx="2">
                  <c:v>9.92</c:v>
                </c:pt>
                <c:pt idx="3">
                  <c:v>6.15</c:v>
                </c:pt>
                <c:pt idx="4">
                  <c:v>3.69</c:v>
                </c:pt>
              </c:numCache>
            </c:numRef>
          </c:xVal>
          <c:yVal>
            <c:numRef>
              <c:f>Graficas!$K$11:$K$15</c:f>
              <c:numCache>
                <c:formatCode>General</c:formatCode>
                <c:ptCount val="5"/>
                <c:pt idx="0">
                  <c:v>0.31659999999999999</c:v>
                </c:pt>
                <c:pt idx="1">
                  <c:v>0.22420000000000001</c:v>
                </c:pt>
                <c:pt idx="2">
                  <c:v>0.25750000000000001</c:v>
                </c:pt>
                <c:pt idx="3">
                  <c:v>0.3841</c:v>
                </c:pt>
                <c:pt idx="4">
                  <c:v>0.67210000000000003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42-4DC9-9102-0680E4F7D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752592"/>
        <c:axId val="664109024"/>
      </c:scatterChart>
      <c:valAx>
        <c:axId val="75975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posición angular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09024"/>
        <c:crosses val="autoZero"/>
        <c:crossBetween val="midCat"/>
      </c:valAx>
      <c:valAx>
        <c:axId val="66410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aceleración 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75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</a:t>
            </a:r>
            <a:r>
              <a:rPr lang="en-US" baseline="0"/>
              <a:t> ejercido por el Servo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Graficas!$C$2:$C$7</c:f>
              <c:numCache>
                <c:formatCode>General</c:formatCode>
                <c:ptCount val="6"/>
                <c:pt idx="0">
                  <c:v>-145.30000000000001</c:v>
                </c:pt>
                <c:pt idx="1">
                  <c:v>-185.3</c:v>
                </c:pt>
                <c:pt idx="2">
                  <c:v>-226.8</c:v>
                </c:pt>
                <c:pt idx="3">
                  <c:v>-246.9</c:v>
                </c:pt>
                <c:pt idx="4">
                  <c:v>-270.39999999999998</c:v>
                </c:pt>
                <c:pt idx="5">
                  <c:v>-316.39999999999998</c:v>
                </c:pt>
              </c:numCache>
            </c:numRef>
          </c:xVal>
          <c:yVal>
            <c:numRef>
              <c:f>Graficas!$R$2:$R$7</c:f>
              <c:numCache>
                <c:formatCode>General</c:formatCode>
                <c:ptCount val="6"/>
                <c:pt idx="0">
                  <c:v>-1.4159999999999999E-3</c:v>
                </c:pt>
                <c:pt idx="1">
                  <c:v>-1.6199999999999999E-3</c:v>
                </c:pt>
                <c:pt idx="2">
                  <c:v>-1.0089999999999999E-3</c:v>
                </c:pt>
                <c:pt idx="3">
                  <c:v>-5.0500000000000002E-4</c:v>
                </c:pt>
                <c:pt idx="4">
                  <c:v>8.7000000000000001E-5</c:v>
                </c:pt>
                <c:pt idx="5">
                  <c:v>8.83E-4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91-4575-B66F-74001AE66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474511"/>
        <c:axId val="272475471"/>
      </c:scatterChart>
      <c:valAx>
        <c:axId val="2724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posición</a:t>
                </a:r>
                <a:r>
                  <a:rPr lang="en-US" baseline="0"/>
                  <a:t> angular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475471"/>
        <c:crosses val="autoZero"/>
        <c:crossBetween val="midCat"/>
      </c:valAx>
      <c:valAx>
        <c:axId val="27247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Momento N/m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4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17</xdr:row>
      <xdr:rowOff>92075</xdr:rowOff>
    </xdr:from>
    <xdr:to>
      <xdr:col>10</xdr:col>
      <xdr:colOff>457200</xdr:colOff>
      <xdr:row>32</xdr:row>
      <xdr:rowOff>168275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02A915F-4896-16FF-96F4-AFF7B5F73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412750</xdr:colOff>
      <xdr:row>17</xdr:row>
      <xdr:rowOff>34925</xdr:rowOff>
    </xdr:from>
    <xdr:to>
      <xdr:col>18</xdr:col>
      <xdr:colOff>361950</xdr:colOff>
      <xdr:row>32</xdr:row>
      <xdr:rowOff>111125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8866DD2-9EB6-89FD-499B-026DFDDA2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353785</xdr:colOff>
      <xdr:row>34</xdr:row>
      <xdr:rowOff>81643</xdr:rowOff>
    </xdr:from>
    <xdr:to>
      <xdr:col>11</xdr:col>
      <xdr:colOff>21771</xdr:colOff>
      <xdr:row>49</xdr:row>
      <xdr:rowOff>157842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631C90-8124-478A-AA34-A7E5FD264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526143</xdr:colOff>
      <xdr:row>34</xdr:row>
      <xdr:rowOff>136072</xdr:rowOff>
    </xdr:from>
    <xdr:to>
      <xdr:col>18</xdr:col>
      <xdr:colOff>475343</xdr:colOff>
      <xdr:row>50</xdr:row>
      <xdr:rowOff>30842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DB67E34-A25D-4622-B3CF-40D2856BD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308429</xdr:colOff>
      <xdr:row>51</xdr:row>
      <xdr:rowOff>145143</xdr:rowOff>
    </xdr:from>
    <xdr:to>
      <xdr:col>10</xdr:col>
      <xdr:colOff>638629</xdr:colOff>
      <xdr:row>67</xdr:row>
      <xdr:rowOff>39914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77BD36-1569-4CBD-9246-F11947698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51</xdr:row>
      <xdr:rowOff>163287</xdr:rowOff>
    </xdr:from>
    <xdr:to>
      <xdr:col>18</xdr:col>
      <xdr:colOff>611414</xdr:colOff>
      <xdr:row>67</xdr:row>
      <xdr:rowOff>58058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987C706-3931-48AD-BFFE-F9F466675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362857</xdr:colOff>
      <xdr:row>68</xdr:row>
      <xdr:rowOff>45357</xdr:rowOff>
    </xdr:from>
    <xdr:to>
      <xdr:col>11</xdr:col>
      <xdr:colOff>30843</xdr:colOff>
      <xdr:row>83</xdr:row>
      <xdr:rowOff>121557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F9C8E00-881E-45F5-B3BB-C376C8318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18143</xdr:colOff>
      <xdr:row>68</xdr:row>
      <xdr:rowOff>54429</xdr:rowOff>
    </xdr:from>
    <xdr:to>
      <xdr:col>19</xdr:col>
      <xdr:colOff>429986</xdr:colOff>
      <xdr:row>83</xdr:row>
      <xdr:rowOff>130629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DBC19C-2CAA-429F-8F45-724D50FDF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471714</xdr:colOff>
      <xdr:row>84</xdr:row>
      <xdr:rowOff>172357</xdr:rowOff>
    </xdr:from>
    <xdr:to>
      <xdr:col>11</xdr:col>
      <xdr:colOff>139700</xdr:colOff>
      <xdr:row>100</xdr:row>
      <xdr:rowOff>67128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32B76B2-1A27-46D7-A1C9-199B89D92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263072</xdr:colOff>
      <xdr:row>84</xdr:row>
      <xdr:rowOff>145143</xdr:rowOff>
    </xdr:from>
    <xdr:to>
      <xdr:col>20</xdr:col>
      <xdr:colOff>12700</xdr:colOff>
      <xdr:row>100</xdr:row>
      <xdr:rowOff>39914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05E2717-DDE4-4CD0-B903-5F90B15F3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127000</xdr:colOff>
      <xdr:row>17</xdr:row>
      <xdr:rowOff>119289</xdr:rowOff>
    </xdr:from>
    <xdr:to>
      <xdr:col>10</xdr:col>
      <xdr:colOff>457200</xdr:colOff>
      <xdr:row>33</xdr:row>
      <xdr:rowOff>14060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46E25E4-982A-A472-8907-6DF2847E2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412750</xdr:colOff>
      <xdr:row>17</xdr:row>
      <xdr:rowOff>62139</xdr:rowOff>
    </xdr:from>
    <xdr:to>
      <xdr:col>18</xdr:col>
      <xdr:colOff>361950</xdr:colOff>
      <xdr:row>32</xdr:row>
      <xdr:rowOff>138339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AF36E0D-F09F-278A-C30F-D1329E655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353785</xdr:colOff>
      <xdr:row>34</xdr:row>
      <xdr:rowOff>108857</xdr:rowOff>
    </xdr:from>
    <xdr:to>
      <xdr:col>11</xdr:col>
      <xdr:colOff>21771</xdr:colOff>
      <xdr:row>50</xdr:row>
      <xdr:rowOff>3627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1DCD7CC-9CB3-6308-7C2B-5D6D2F3F8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526143</xdr:colOff>
      <xdr:row>34</xdr:row>
      <xdr:rowOff>163286</xdr:rowOff>
    </xdr:from>
    <xdr:to>
      <xdr:col>18</xdr:col>
      <xdr:colOff>475343</xdr:colOff>
      <xdr:row>50</xdr:row>
      <xdr:rowOff>58056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ABD8462-612B-0156-590D-171EB3BC3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308429</xdr:colOff>
      <xdr:row>51</xdr:row>
      <xdr:rowOff>172357</xdr:rowOff>
    </xdr:from>
    <xdr:to>
      <xdr:col>10</xdr:col>
      <xdr:colOff>638629</xdr:colOff>
      <xdr:row>67</xdr:row>
      <xdr:rowOff>67128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FBE7985-8026-001F-C55B-949D65353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52</xdr:row>
      <xdr:rowOff>9072</xdr:rowOff>
    </xdr:from>
    <xdr:to>
      <xdr:col>18</xdr:col>
      <xdr:colOff>611414</xdr:colOff>
      <xdr:row>67</xdr:row>
      <xdr:rowOff>85272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4E52BB4-6BC1-717D-3006-A8110A4A4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18</xdr:col>
      <xdr:colOff>669448</xdr:colOff>
      <xdr:row>16</xdr:row>
      <xdr:rowOff>149911</xdr:rowOff>
    </xdr:from>
    <xdr:to>
      <xdr:col>25</xdr:col>
      <xdr:colOff>630746</xdr:colOff>
      <xdr:row>32</xdr:row>
      <xdr:rowOff>27310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0EF15CC-3D69-01A9-48DC-4923C1E74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4D4A-D5D6-4007-B69A-08B074D80BDF}">
  <dimension ref="A1:AA138"/>
  <sheetViews>
    <sheetView tabSelected="1" zoomScale="66" workbookViewId="0">
      <selection activeCell="F13" sqref="F13"/>
    </sheetView>
  </sheetViews>
  <sheetFormatPr defaultRowHeight="14.25"/>
  <cols>
    <col min="5" max="5" width="13.1640625" customWidth="1"/>
    <col min="6" max="6" width="8.58203125" customWidth="1"/>
    <col min="11" max="11" width="14.6640625" customWidth="1"/>
    <col min="17" max="17" width="13.6640625" customWidth="1"/>
    <col min="19" max="19" width="9.75" customWidth="1"/>
    <col min="22" max="22" width="17.33203125" customWidth="1"/>
    <col min="23" max="23" width="11.08203125" customWidth="1"/>
    <col min="26" max="26" width="11" customWidth="1"/>
  </cols>
  <sheetData>
    <row r="1" spans="1:27" ht="29.5">
      <c r="A1" s="28" t="s">
        <v>31</v>
      </c>
      <c r="B1" s="28" t="s">
        <v>178</v>
      </c>
      <c r="C1" s="28" t="s">
        <v>179</v>
      </c>
      <c r="E1" s="29"/>
      <c r="F1" s="30"/>
      <c r="H1" s="19" t="s">
        <v>180</v>
      </c>
      <c r="I1" s="19" t="s">
        <v>181</v>
      </c>
      <c r="J1" s="19" t="s">
        <v>182</v>
      </c>
      <c r="K1" s="19" t="s">
        <v>183</v>
      </c>
      <c r="N1" s="28" t="s">
        <v>180</v>
      </c>
      <c r="O1" s="28" t="s">
        <v>181</v>
      </c>
      <c r="P1" s="28" t="s">
        <v>182</v>
      </c>
      <c r="Q1" s="28" t="s">
        <v>183</v>
      </c>
      <c r="S1" s="31" t="s">
        <v>184</v>
      </c>
      <c r="T1" s="32"/>
      <c r="U1" s="32"/>
      <c r="V1" s="32"/>
      <c r="W1" s="33"/>
      <c r="Y1" s="34" t="s">
        <v>185</v>
      </c>
      <c r="Z1" s="35"/>
    </row>
    <row r="2" spans="1:27" ht="14.75">
      <c r="A2" s="21">
        <v>0</v>
      </c>
      <c r="B2" s="21">
        <v>7.6</v>
      </c>
      <c r="C2" s="21">
        <v>7.6</v>
      </c>
      <c r="H2" s="19">
        <f>A17</f>
        <v>0.5</v>
      </c>
      <c r="I2" s="19">
        <f>C17</f>
        <v>-85.4</v>
      </c>
      <c r="J2" s="19">
        <f>((C18-C16)/(A18-A16))*(PI()/180)</f>
        <v>-2.8654659361100929</v>
      </c>
      <c r="K2" s="19"/>
      <c r="N2" s="21">
        <v>0.53300000000000003</v>
      </c>
      <c r="O2" s="21" t="s">
        <v>186</v>
      </c>
      <c r="P2" s="21">
        <v>-2.5122</v>
      </c>
      <c r="Q2" s="21">
        <v>6.7098000000000004</v>
      </c>
      <c r="S2" s="28" t="s">
        <v>180</v>
      </c>
      <c r="T2" s="28" t="s">
        <v>181</v>
      </c>
      <c r="U2" s="28" t="s">
        <v>182</v>
      </c>
      <c r="V2" s="28" t="s">
        <v>183</v>
      </c>
      <c r="W2" s="28" t="s">
        <v>187</v>
      </c>
      <c r="X2" s="30"/>
      <c r="Y2" s="28" t="s">
        <v>9</v>
      </c>
      <c r="Z2" s="19">
        <v>0.05</v>
      </c>
      <c r="AA2" s="30"/>
    </row>
    <row r="3" spans="1:27" ht="14.75">
      <c r="A3" s="21">
        <v>3.3000000000000002E-2</v>
      </c>
      <c r="B3" s="21">
        <v>1.2</v>
      </c>
      <c r="C3" s="21">
        <v>1.2</v>
      </c>
      <c r="H3" s="36">
        <f t="shared" ref="H3:H66" si="0">A18</f>
        <v>0.53300000000000003</v>
      </c>
      <c r="I3" s="36">
        <f t="shared" ref="I3:I66" si="1">C18</f>
        <v>-92.1</v>
      </c>
      <c r="J3" s="36">
        <f t="shared" ref="J3:J66" si="2">((C19-C17)/(A19-A17))*(PI()/180)</f>
        <v>-2.5122163475675974</v>
      </c>
      <c r="K3" s="36">
        <f>(J4-J2)/(H4-H2)</f>
        <v>6.7097687209188805</v>
      </c>
      <c r="N3" s="21">
        <v>0.9</v>
      </c>
      <c r="O3" s="21" t="s">
        <v>188</v>
      </c>
      <c r="P3" s="21">
        <v>-2.2141999999999999</v>
      </c>
      <c r="Q3" s="21">
        <v>9.2546999999999997</v>
      </c>
      <c r="S3" s="21">
        <v>0.53300000000000003</v>
      </c>
      <c r="T3" s="21">
        <v>-92.1</v>
      </c>
      <c r="U3" s="21">
        <v>-2.5122</v>
      </c>
      <c r="V3" s="21">
        <v>6.7098000000000004</v>
      </c>
      <c r="W3" s="19">
        <f>T3*(PI()/180)</f>
        <v>-1.6074482410867774</v>
      </c>
      <c r="X3" s="37"/>
      <c r="Y3" s="38" t="s">
        <v>11</v>
      </c>
      <c r="Z3" s="19">
        <v>0.1</v>
      </c>
      <c r="AA3" s="37"/>
    </row>
    <row r="4" spans="1:27" ht="14.75">
      <c r="A4" s="21">
        <v>6.7000000000000004E-2</v>
      </c>
      <c r="B4" s="21">
        <v>-6.2</v>
      </c>
      <c r="C4" s="21">
        <v>-6.2</v>
      </c>
      <c r="H4" s="19">
        <f t="shared" si="0"/>
        <v>0.56599999999999995</v>
      </c>
      <c r="I4" s="19">
        <f t="shared" si="1"/>
        <v>-94.9</v>
      </c>
      <c r="J4" s="19">
        <f t="shared" si="2"/>
        <v>-2.4226212005294472</v>
      </c>
      <c r="K4" s="19">
        <f t="shared" ref="K4:K56" si="3">(J5-J3)/(H5-H3)</f>
        <v>-4.8835805703614588</v>
      </c>
      <c r="N4" s="21">
        <v>1.266</v>
      </c>
      <c r="O4" s="21" t="s">
        <v>189</v>
      </c>
      <c r="P4" s="21">
        <v>-1.4279999999999999</v>
      </c>
      <c r="Q4" s="21">
        <v>9.4725999999999999</v>
      </c>
      <c r="S4" s="21">
        <v>0.9</v>
      </c>
      <c r="T4" s="21">
        <v>-145.30000000000001</v>
      </c>
      <c r="U4" s="21">
        <v>-2.2141999999999999</v>
      </c>
      <c r="V4" s="21">
        <v>9.2546999999999997</v>
      </c>
      <c r="W4" s="19">
        <f t="shared" ref="W4:W8" si="4">T4*(PI()/180)</f>
        <v>-2.5359634031477611</v>
      </c>
      <c r="X4" s="37"/>
      <c r="Y4" s="38" t="s">
        <v>190</v>
      </c>
      <c r="Z4" s="19">
        <v>0.1</v>
      </c>
      <c r="AA4" s="37"/>
    </row>
    <row r="5" spans="1:27" ht="14.75">
      <c r="A5" s="21">
        <v>0.1</v>
      </c>
      <c r="B5" s="21">
        <v>-12.6</v>
      </c>
      <c r="C5" s="21">
        <v>-12.6</v>
      </c>
      <c r="H5" s="19">
        <f t="shared" si="0"/>
        <v>0.6</v>
      </c>
      <c r="I5" s="19">
        <f t="shared" si="1"/>
        <v>-101.4</v>
      </c>
      <c r="J5" s="19">
        <f t="shared" si="2"/>
        <v>-2.8394162457818148</v>
      </c>
      <c r="K5" s="19">
        <f t="shared" si="3"/>
        <v>-4.8894714998793356</v>
      </c>
      <c r="N5" s="21">
        <v>1.633</v>
      </c>
      <c r="O5" s="21" t="s">
        <v>191</v>
      </c>
      <c r="P5" s="21">
        <v>-2.0840000000000001</v>
      </c>
      <c r="Q5" s="21">
        <v>-11.092599999999999</v>
      </c>
      <c r="S5" s="21">
        <v>1.266</v>
      </c>
      <c r="T5" s="21">
        <v>-185.3</v>
      </c>
      <c r="U5" s="21">
        <v>-1.4279999999999999</v>
      </c>
      <c r="V5" s="21">
        <v>9.4725999999999999</v>
      </c>
      <c r="W5" s="19">
        <f t="shared" si="4"/>
        <v>-3.234095103945493</v>
      </c>
      <c r="X5" s="37"/>
      <c r="Y5" s="38" t="s">
        <v>192</v>
      </c>
      <c r="Z5" s="19">
        <v>0.115</v>
      </c>
      <c r="AA5" s="37"/>
    </row>
    <row r="6" spans="1:27" ht="14.75">
      <c r="A6" s="21">
        <v>0.13300000000000001</v>
      </c>
      <c r="B6" s="21">
        <v>-20.100000000000001</v>
      </c>
      <c r="C6" s="21">
        <v>-20.100000000000001</v>
      </c>
      <c r="H6" s="36">
        <f t="shared" si="0"/>
        <v>0.63300000000000001</v>
      </c>
      <c r="I6" s="36">
        <f t="shared" si="1"/>
        <v>-105.8</v>
      </c>
      <c r="J6" s="36">
        <f t="shared" si="2"/>
        <v>-2.7502157910213629</v>
      </c>
      <c r="K6" s="36">
        <f t="shared" si="3"/>
        <v>2.3681536662065921</v>
      </c>
      <c r="N6" s="21">
        <v>1.899</v>
      </c>
      <c r="O6" s="21" t="s">
        <v>193</v>
      </c>
      <c r="P6" s="21">
        <v>-4.7149999999999999</v>
      </c>
      <c r="Q6" s="21">
        <v>-21.873000000000001</v>
      </c>
      <c r="S6" s="21">
        <v>1.633</v>
      </c>
      <c r="T6" s="21">
        <v>-226.8</v>
      </c>
      <c r="U6" s="21">
        <v>-2.0840000000000001</v>
      </c>
      <c r="V6" s="21">
        <v>-11.092599999999999</v>
      </c>
      <c r="W6" s="19">
        <f t="shared" si="4"/>
        <v>-3.9584067435231396</v>
      </c>
      <c r="X6" s="37"/>
      <c r="Y6" s="38" t="s">
        <v>102</v>
      </c>
      <c r="Z6" s="19">
        <v>9.3600000000000003E-2</v>
      </c>
      <c r="AA6" s="37"/>
    </row>
    <row r="7" spans="1:27" ht="14.75">
      <c r="A7" s="21">
        <v>0.16700000000000001</v>
      </c>
      <c r="B7" s="21">
        <v>-25.9</v>
      </c>
      <c r="C7" s="21">
        <v>-25.9</v>
      </c>
      <c r="H7" s="36">
        <f t="shared" si="0"/>
        <v>0.66600000000000004</v>
      </c>
      <c r="I7" s="36">
        <f t="shared" si="1"/>
        <v>-111.8</v>
      </c>
      <c r="J7" s="36">
        <f t="shared" si="2"/>
        <v>-2.6831181038121796</v>
      </c>
      <c r="K7" s="36">
        <f t="shared" si="3"/>
        <v>2.9454647589634577</v>
      </c>
      <c r="N7" s="21">
        <v>2.0990000000000002</v>
      </c>
      <c r="O7" s="21" t="s">
        <v>194</v>
      </c>
      <c r="P7" s="21">
        <v>-3.9666999999999999</v>
      </c>
      <c r="Q7" s="21">
        <v>-12.6302</v>
      </c>
      <c r="S7" s="21">
        <v>1.899</v>
      </c>
      <c r="T7" s="21">
        <v>-270.39999999999998</v>
      </c>
      <c r="U7" s="21">
        <v>-4.7149999999999999</v>
      </c>
      <c r="V7" s="21">
        <v>-21.873000000000001</v>
      </c>
      <c r="W7" s="19">
        <f t="shared" si="4"/>
        <v>-4.7193702973926666</v>
      </c>
      <c r="X7" s="37"/>
      <c r="Y7" s="38" t="s">
        <v>103</v>
      </c>
      <c r="Z7" s="19">
        <v>8.4989999999999996E-2</v>
      </c>
      <c r="AA7" s="37"/>
    </row>
    <row r="8" spans="1:27">
      <c r="A8" s="21">
        <v>0.2</v>
      </c>
      <c r="B8" s="21">
        <v>-32.1</v>
      </c>
      <c r="C8" s="21">
        <v>-32.1</v>
      </c>
      <c r="H8" s="19">
        <f t="shared" si="0"/>
        <v>0.7</v>
      </c>
      <c r="I8" s="19">
        <f t="shared" si="1"/>
        <v>-116.1</v>
      </c>
      <c r="J8" s="19">
        <f t="shared" si="2"/>
        <v>-2.5528696521708114</v>
      </c>
      <c r="K8" s="19">
        <f t="shared" si="3"/>
        <v>2.5507724812624835</v>
      </c>
      <c r="N8" s="39">
        <v>0.63300000000000001</v>
      </c>
      <c r="O8">
        <v>-105.8</v>
      </c>
      <c r="P8" s="39">
        <v>-2.75</v>
      </c>
      <c r="Q8" s="39">
        <v>2.3681536599999999</v>
      </c>
      <c r="S8" s="21">
        <v>2.0990000000000002</v>
      </c>
      <c r="T8" s="21">
        <v>-316.39999999999998</v>
      </c>
      <c r="U8" s="21">
        <v>-3.9666999999999999</v>
      </c>
      <c r="V8" s="21">
        <v>-12.6302</v>
      </c>
      <c r="W8" s="19">
        <f t="shared" si="4"/>
        <v>-5.5222217533100579</v>
      </c>
    </row>
    <row r="9" spans="1:27">
      <c r="A9" s="21">
        <v>0.23300000000000001</v>
      </c>
      <c r="B9" s="21">
        <v>-38.200000000000003</v>
      </c>
      <c r="C9" s="21">
        <v>-38.200000000000003</v>
      </c>
      <c r="H9" s="19">
        <f t="shared" si="0"/>
        <v>0.73299999999999998</v>
      </c>
      <c r="I9" s="19">
        <f t="shared" si="1"/>
        <v>-121.6</v>
      </c>
      <c r="J9" s="19">
        <f t="shared" si="2"/>
        <v>-2.5122163475675934</v>
      </c>
      <c r="K9" s="19">
        <f t="shared" si="3"/>
        <v>-2.3681536662066591</v>
      </c>
      <c r="N9" s="39">
        <v>0.76600000000000001</v>
      </c>
      <c r="O9">
        <v>-125.6</v>
      </c>
      <c r="P9" s="39">
        <v>-2.7092000000000001</v>
      </c>
      <c r="Q9" s="39">
        <v>1.337</v>
      </c>
    </row>
    <row r="10" spans="1:27">
      <c r="A10" s="21">
        <v>0.26700000000000002</v>
      </c>
      <c r="B10" s="21">
        <v>-44.2</v>
      </c>
      <c r="C10" s="21">
        <v>-44.2</v>
      </c>
      <c r="H10" s="40">
        <f t="shared" si="0"/>
        <v>0.76600000000000001</v>
      </c>
      <c r="I10" s="40">
        <f t="shared" si="1"/>
        <v>-125.6</v>
      </c>
      <c r="J10" s="40">
        <f t="shared" si="2"/>
        <v>-2.7091677941404511</v>
      </c>
      <c r="K10" s="40">
        <f t="shared" si="3"/>
        <v>1.3372410005693449</v>
      </c>
      <c r="N10" s="39">
        <v>1.766</v>
      </c>
      <c r="O10">
        <v>-246.9</v>
      </c>
      <c r="P10" s="39">
        <v>-2.4329000000000001</v>
      </c>
      <c r="Q10" s="39">
        <v>-7.89</v>
      </c>
    </row>
    <row r="11" spans="1:27">
      <c r="A11" s="21">
        <v>0.3</v>
      </c>
      <c r="B11" s="21">
        <v>-50.5</v>
      </c>
      <c r="C11" s="21">
        <v>-50.5</v>
      </c>
      <c r="H11" s="19">
        <f t="shared" si="0"/>
        <v>0.8</v>
      </c>
      <c r="I11" s="19">
        <f t="shared" si="1"/>
        <v>-132</v>
      </c>
      <c r="J11" s="19">
        <f t="shared" si="2"/>
        <v>-2.4226212005294472</v>
      </c>
      <c r="K11" s="19">
        <f t="shared" si="3"/>
        <v>10.438727105766791</v>
      </c>
    </row>
    <row r="12" spans="1:27">
      <c r="A12" s="21">
        <v>0.33300000000000002</v>
      </c>
      <c r="B12" s="21">
        <v>-55.6</v>
      </c>
      <c r="C12" s="21">
        <v>-55.6</v>
      </c>
      <c r="H12" s="19">
        <f t="shared" si="0"/>
        <v>0.83299999999999996</v>
      </c>
      <c r="I12" s="19">
        <f t="shared" si="1"/>
        <v>-134.9</v>
      </c>
      <c r="J12" s="19">
        <f t="shared" si="2"/>
        <v>-2.0097730780540766</v>
      </c>
      <c r="K12" s="19">
        <f t="shared" si="3"/>
        <v>-4.3416150547121832</v>
      </c>
    </row>
    <row r="13" spans="1:27">
      <c r="A13" s="21">
        <v>0.36699999999999999</v>
      </c>
      <c r="B13" s="21">
        <v>-63.6</v>
      </c>
      <c r="C13" s="21">
        <v>-63.6</v>
      </c>
      <c r="H13" s="19">
        <f t="shared" si="0"/>
        <v>0.86599999999999999</v>
      </c>
      <c r="I13" s="19">
        <f t="shared" si="1"/>
        <v>-139.6</v>
      </c>
      <c r="J13" s="19">
        <f t="shared" si="2"/>
        <v>-2.7091677941404511</v>
      </c>
      <c r="K13" s="19">
        <f t="shared" si="3"/>
        <v>-3.0515014902861948</v>
      </c>
    </row>
    <row r="14" spans="1:27">
      <c r="A14" s="21">
        <v>0.4</v>
      </c>
      <c r="B14" s="21">
        <v>-68.900000000000006</v>
      </c>
      <c r="C14" s="21">
        <v>-68.900000000000006</v>
      </c>
      <c r="H14" s="40">
        <f t="shared" si="0"/>
        <v>0.9</v>
      </c>
      <c r="I14" s="40">
        <f t="shared" si="1"/>
        <v>-145.30000000000001</v>
      </c>
      <c r="J14" s="40">
        <f t="shared" si="2"/>
        <v>-2.2142236779032518</v>
      </c>
      <c r="K14" s="40">
        <f t="shared" si="3"/>
        <v>9.2546502726634952</v>
      </c>
    </row>
    <row r="15" spans="1:27">
      <c r="A15" s="21">
        <v>0.433</v>
      </c>
      <c r="B15" s="21">
        <v>-74.2</v>
      </c>
      <c r="C15" s="21">
        <v>-74.2</v>
      </c>
      <c r="H15" s="19">
        <f t="shared" si="0"/>
        <v>0.93300000000000005</v>
      </c>
      <c r="I15" s="19">
        <f t="shared" si="1"/>
        <v>-148.1</v>
      </c>
      <c r="J15" s="19">
        <f t="shared" si="2"/>
        <v>-2.0891062258719963</v>
      </c>
      <c r="K15" s="19">
        <f t="shared" si="3"/>
        <v>-1.5787691108045385</v>
      </c>
      <c r="P15" t="s">
        <v>195</v>
      </c>
    </row>
    <row r="16" spans="1:27">
      <c r="A16" s="21">
        <v>0.46600000000000003</v>
      </c>
      <c r="B16" s="21">
        <v>-81.099999999999994</v>
      </c>
      <c r="C16" s="21">
        <v>-81.099999999999994</v>
      </c>
      <c r="H16" s="19">
        <f t="shared" si="0"/>
        <v>0.96599999999999997</v>
      </c>
      <c r="I16" s="19">
        <f t="shared" si="1"/>
        <v>-153.19999999999999</v>
      </c>
      <c r="J16" s="19">
        <f t="shared" si="2"/>
        <v>-2.3184224392163513</v>
      </c>
      <c r="K16" s="19">
        <f t="shared" si="3"/>
        <v>-4.5890340944653616</v>
      </c>
      <c r="P16">
        <f>AVERAGE(J:J)</f>
        <v>-2.7019469169155226</v>
      </c>
    </row>
    <row r="17" spans="1:11">
      <c r="A17" s="21">
        <v>0.5</v>
      </c>
      <c r="B17" s="21">
        <v>-85.4</v>
      </c>
      <c r="C17" s="21">
        <v>-85.4</v>
      </c>
      <c r="H17" s="19">
        <f t="shared" si="0"/>
        <v>1</v>
      </c>
      <c r="I17" s="19">
        <f t="shared" si="1"/>
        <v>-157</v>
      </c>
      <c r="J17" s="19">
        <f t="shared" si="2"/>
        <v>-2.3965715102011753</v>
      </c>
      <c r="K17" s="19">
        <f t="shared" si="3"/>
        <v>-5.2606000595087847</v>
      </c>
    </row>
    <row r="18" spans="1:11">
      <c r="A18" s="21">
        <v>0.53300000000000003</v>
      </c>
      <c r="B18" s="21">
        <v>-92.1</v>
      </c>
      <c r="C18" s="21">
        <v>-92.1</v>
      </c>
      <c r="H18" s="19">
        <f t="shared" si="0"/>
        <v>1.0329999999999999</v>
      </c>
      <c r="I18" s="19">
        <f t="shared" si="1"/>
        <v>-162.4</v>
      </c>
      <c r="J18" s="19">
        <f t="shared" si="2"/>
        <v>-2.6708826432034396</v>
      </c>
      <c r="K18" s="19">
        <f t="shared" si="3"/>
        <v>12.235460608734728</v>
      </c>
    </row>
    <row r="19" spans="1:11">
      <c r="A19" s="21">
        <v>0.56599999999999995</v>
      </c>
      <c r="B19" s="21">
        <v>-94.9</v>
      </c>
      <c r="C19" s="21">
        <v>-94.9</v>
      </c>
      <c r="H19" s="19">
        <f t="shared" si="0"/>
        <v>1.0660000000000001</v>
      </c>
      <c r="I19" s="19">
        <f t="shared" si="1"/>
        <v>-167.1</v>
      </c>
      <c r="J19" s="19">
        <f t="shared" si="2"/>
        <v>-1.5890311100246826</v>
      </c>
      <c r="K19" s="19">
        <f t="shared" si="3"/>
        <v>27.42227690595038</v>
      </c>
    </row>
    <row r="20" spans="1:11">
      <c r="A20" s="21">
        <v>0.6</v>
      </c>
      <c r="B20" s="21">
        <v>-101.4</v>
      </c>
      <c r="C20" s="21">
        <v>-101.4</v>
      </c>
      <c r="H20" s="19">
        <f t="shared" si="0"/>
        <v>1.1000000000000001</v>
      </c>
      <c r="I20" s="19">
        <f t="shared" si="1"/>
        <v>-168.5</v>
      </c>
      <c r="J20" s="19">
        <f t="shared" si="2"/>
        <v>-0.83359009050475952</v>
      </c>
      <c r="K20" s="19">
        <f t="shared" si="3"/>
        <v>3.1928837987163936</v>
      </c>
    </row>
    <row r="21" spans="1:11">
      <c r="A21" s="21">
        <v>0.63300000000000001</v>
      </c>
      <c r="B21" s="21">
        <v>-105.8</v>
      </c>
      <c r="C21" s="21">
        <v>-105.8</v>
      </c>
      <c r="H21" s="19">
        <f t="shared" si="0"/>
        <v>1.133</v>
      </c>
      <c r="I21" s="19">
        <f t="shared" si="1"/>
        <v>-170.3</v>
      </c>
      <c r="J21" s="19">
        <f t="shared" si="2"/>
        <v>-1.3751078955106844</v>
      </c>
      <c r="K21" s="19">
        <f t="shared" si="3"/>
        <v>-13.814229719538931</v>
      </c>
    </row>
    <row r="22" spans="1:11">
      <c r="A22" s="21">
        <v>0.66600000000000004</v>
      </c>
      <c r="B22" s="21">
        <v>-111.8</v>
      </c>
      <c r="C22" s="21">
        <v>-111.8</v>
      </c>
      <c r="H22" s="19">
        <f t="shared" si="0"/>
        <v>1.1659999999999999</v>
      </c>
      <c r="I22" s="19">
        <f t="shared" si="1"/>
        <v>-173.7</v>
      </c>
      <c r="J22" s="19">
        <f t="shared" si="2"/>
        <v>-1.7453292519943266</v>
      </c>
      <c r="K22" s="19">
        <f t="shared" si="3"/>
        <v>-11.135106379992051</v>
      </c>
    </row>
    <row r="23" spans="1:11">
      <c r="A23" s="21">
        <v>0.7</v>
      </c>
      <c r="B23" s="21">
        <v>-116.1</v>
      </c>
      <c r="C23" s="21">
        <v>-116.1</v>
      </c>
      <c r="H23" s="19">
        <f t="shared" si="0"/>
        <v>1.1990000000000001</v>
      </c>
      <c r="I23" s="19">
        <f t="shared" si="1"/>
        <v>-176.9</v>
      </c>
      <c r="J23" s="19">
        <f t="shared" si="2"/>
        <v>-2.1100249165901603</v>
      </c>
      <c r="K23" s="19">
        <f t="shared" si="3"/>
        <v>-6.6096229191142646</v>
      </c>
    </row>
    <row r="24" spans="1:11">
      <c r="A24" s="21">
        <v>0.73299999999999998</v>
      </c>
      <c r="B24" s="21">
        <v>-121.6</v>
      </c>
      <c r="C24" s="21">
        <v>-121.6</v>
      </c>
      <c r="H24" s="19">
        <f t="shared" si="0"/>
        <v>1.2330000000000001</v>
      </c>
      <c r="I24" s="19">
        <f t="shared" si="1"/>
        <v>-181.8</v>
      </c>
      <c r="J24" s="19">
        <f t="shared" si="2"/>
        <v>-2.1881739875749835</v>
      </c>
      <c r="K24" s="19">
        <f t="shared" si="3"/>
        <v>10.179526206978062</v>
      </c>
    </row>
    <row r="25" spans="1:11">
      <c r="A25" s="21">
        <v>0.76600000000000001</v>
      </c>
      <c r="B25" s="21">
        <v>-125.6</v>
      </c>
      <c r="C25" s="21">
        <v>-125.6</v>
      </c>
      <c r="H25" s="40">
        <f t="shared" si="0"/>
        <v>1.266</v>
      </c>
      <c r="I25" s="40">
        <f t="shared" si="1"/>
        <v>-185.3</v>
      </c>
      <c r="J25" s="40">
        <f t="shared" si="2"/>
        <v>-1.4279966607226307</v>
      </c>
      <c r="K25" s="40">
        <f t="shared" si="3"/>
        <v>9.472614664826807</v>
      </c>
    </row>
    <row r="26" spans="1:11">
      <c r="A26" s="21">
        <v>0.8</v>
      </c>
      <c r="B26" s="21">
        <v>-132</v>
      </c>
      <c r="C26" s="21">
        <v>-132</v>
      </c>
      <c r="H26" s="19">
        <f t="shared" si="0"/>
        <v>1.2989999999999999</v>
      </c>
      <c r="I26" s="19">
        <f t="shared" si="1"/>
        <v>-187.2</v>
      </c>
      <c r="J26" s="19">
        <f t="shared" si="2"/>
        <v>-1.5629814196964158</v>
      </c>
      <c r="K26" s="19">
        <f t="shared" si="3"/>
        <v>-11.345930251527557</v>
      </c>
    </row>
    <row r="27" spans="1:11">
      <c r="A27" s="21">
        <v>0.83299999999999996</v>
      </c>
      <c r="B27" s="21">
        <v>-134.9</v>
      </c>
      <c r="C27" s="21">
        <v>-134.9</v>
      </c>
      <c r="H27" s="19">
        <f t="shared" si="0"/>
        <v>1.333</v>
      </c>
      <c r="I27" s="19">
        <f t="shared" si="1"/>
        <v>-191.3</v>
      </c>
      <c r="J27" s="19">
        <f t="shared" si="2"/>
        <v>-2.1881739875749764</v>
      </c>
      <c r="K27" s="19">
        <f t="shared" si="3"/>
        <v>-5.0897631034889015</v>
      </c>
    </row>
    <row r="28" spans="1:11">
      <c r="A28" s="21">
        <v>0.86599999999999999</v>
      </c>
      <c r="B28" s="21">
        <v>-139.6</v>
      </c>
      <c r="C28" s="21">
        <v>-139.6</v>
      </c>
      <c r="H28" s="19">
        <f t="shared" si="0"/>
        <v>1.3660000000000001</v>
      </c>
      <c r="I28" s="19">
        <f t="shared" si="1"/>
        <v>-195.6</v>
      </c>
      <c r="J28" s="19">
        <f t="shared" si="2"/>
        <v>-1.9039955476301731</v>
      </c>
      <c r="K28" s="19">
        <f t="shared" si="3"/>
        <v>1.973461388505463</v>
      </c>
    </row>
    <row r="29" spans="1:11">
      <c r="A29" s="21">
        <v>0.9</v>
      </c>
      <c r="B29" s="21">
        <v>-145.30000000000001</v>
      </c>
      <c r="C29" s="21">
        <v>-145.30000000000001</v>
      </c>
      <c r="H29" s="19">
        <f t="shared" si="0"/>
        <v>1.399</v>
      </c>
      <c r="I29" s="19">
        <f t="shared" si="1"/>
        <v>-198.5</v>
      </c>
      <c r="J29" s="19">
        <f t="shared" si="2"/>
        <v>-2.0579255359336157</v>
      </c>
      <c r="K29" s="19">
        <f t="shared" si="3"/>
        <v>-3.463866556541177</v>
      </c>
    </row>
    <row r="30" spans="1:11">
      <c r="A30" s="21">
        <v>0.93300000000000005</v>
      </c>
      <c r="B30" s="21">
        <v>-148.1</v>
      </c>
      <c r="C30" s="21">
        <v>-148.1</v>
      </c>
      <c r="H30" s="19">
        <f t="shared" si="0"/>
        <v>1.4330000000000001</v>
      </c>
      <c r="I30" s="19">
        <f t="shared" si="1"/>
        <v>-203.5</v>
      </c>
      <c r="J30" s="19">
        <f t="shared" si="2"/>
        <v>-2.1360746069184318</v>
      </c>
      <c r="K30" s="19">
        <f t="shared" si="3"/>
        <v>2.2974625119916827</v>
      </c>
    </row>
    <row r="31" spans="1:11">
      <c r="A31" s="21">
        <v>0.96599999999999997</v>
      </c>
      <c r="B31" s="21">
        <v>-153.19999999999999</v>
      </c>
      <c r="C31" s="21">
        <v>-153.19999999999999</v>
      </c>
      <c r="H31" s="19">
        <f t="shared" si="0"/>
        <v>1.466</v>
      </c>
      <c r="I31" s="19">
        <f t="shared" si="1"/>
        <v>-206.7</v>
      </c>
      <c r="J31" s="19">
        <f t="shared" si="2"/>
        <v>-1.9039955476301731</v>
      </c>
      <c r="K31" s="19">
        <f t="shared" si="3"/>
        <v>-8.6832301094245938</v>
      </c>
    </row>
    <row r="32" spans="1:11">
      <c r="A32" s="21">
        <v>1</v>
      </c>
      <c r="B32" s="21">
        <v>-157</v>
      </c>
      <c r="C32" s="21">
        <v>-157</v>
      </c>
      <c r="H32" s="19">
        <f t="shared" si="0"/>
        <v>1.4990000000000001</v>
      </c>
      <c r="I32" s="19">
        <f t="shared" si="1"/>
        <v>-210.7</v>
      </c>
      <c r="J32" s="19">
        <f t="shared" si="2"/>
        <v>-2.7091677941404555</v>
      </c>
      <c r="K32" s="19">
        <f t="shared" si="3"/>
        <v>-5.4078732974572343</v>
      </c>
    </row>
    <row r="33" spans="1:16">
      <c r="A33" s="21">
        <v>1.0329999999999999</v>
      </c>
      <c r="B33" s="21">
        <v>-162.4</v>
      </c>
      <c r="C33" s="21">
        <v>-162.4</v>
      </c>
      <c r="H33" s="19">
        <f t="shared" si="0"/>
        <v>1.5329999999999999</v>
      </c>
      <c r="I33" s="19">
        <f t="shared" si="1"/>
        <v>-217.1</v>
      </c>
      <c r="J33" s="19">
        <f t="shared" si="2"/>
        <v>-2.2663230585598075</v>
      </c>
      <c r="K33" s="19">
        <f t="shared" si="3"/>
        <v>10.43872710576691</v>
      </c>
    </row>
    <row r="34" spans="1:16">
      <c r="A34" s="21">
        <v>1.0660000000000001</v>
      </c>
      <c r="B34" s="21">
        <v>-167.1</v>
      </c>
      <c r="C34" s="21">
        <v>-167.1</v>
      </c>
      <c r="H34" s="19">
        <f t="shared" si="0"/>
        <v>1.5660000000000001</v>
      </c>
      <c r="I34" s="19">
        <f t="shared" si="1"/>
        <v>-219.4</v>
      </c>
      <c r="J34" s="19">
        <f t="shared" si="2"/>
        <v>-2.009773078054073</v>
      </c>
      <c r="K34" s="19">
        <f t="shared" si="3"/>
        <v>5.1309996101145412</v>
      </c>
      <c r="O34">
        <f>AVERAGE(P:P)</f>
        <v>-2.7469176212573676</v>
      </c>
      <c r="P34">
        <f>AVERAGE(J:J)</f>
        <v>-2.7019469169155226</v>
      </c>
    </row>
    <row r="35" spans="1:16">
      <c r="A35" s="21">
        <v>1.1000000000000001</v>
      </c>
      <c r="B35" s="21">
        <v>-168.5</v>
      </c>
      <c r="C35" s="21">
        <v>-168.5</v>
      </c>
      <c r="H35" s="19">
        <f t="shared" si="0"/>
        <v>1.599</v>
      </c>
      <c r="I35" s="19">
        <f t="shared" si="1"/>
        <v>-224.7</v>
      </c>
      <c r="J35" s="19">
        <f t="shared" si="2"/>
        <v>-1.9276770842922475</v>
      </c>
      <c r="K35" s="19">
        <f t="shared" si="3"/>
        <v>-1.1074947493703675</v>
      </c>
    </row>
    <row r="36" spans="1:16">
      <c r="A36" s="21">
        <v>1.133</v>
      </c>
      <c r="B36" s="21">
        <v>-170.3</v>
      </c>
      <c r="C36" s="21">
        <v>-170.3</v>
      </c>
      <c r="H36" s="40">
        <f t="shared" si="0"/>
        <v>1.633</v>
      </c>
      <c r="I36" s="40">
        <f t="shared" si="1"/>
        <v>-226.8</v>
      </c>
      <c r="J36" s="40">
        <f t="shared" si="2"/>
        <v>-2.0839752262618876</v>
      </c>
      <c r="K36" s="40">
        <f t="shared" si="3"/>
        <v>-11.092620282256608</v>
      </c>
    </row>
    <row r="37" spans="1:16">
      <c r="A37" s="21">
        <v>1.1659999999999999</v>
      </c>
      <c r="B37" s="21">
        <v>-173.7</v>
      </c>
      <c r="C37" s="21">
        <v>-173.7</v>
      </c>
      <c r="H37" s="19">
        <f t="shared" si="0"/>
        <v>1.6659999999999999</v>
      </c>
      <c r="I37" s="19">
        <f t="shared" si="1"/>
        <v>-232.7</v>
      </c>
      <c r="J37" s="19">
        <f t="shared" si="2"/>
        <v>-2.6708826432034396</v>
      </c>
      <c r="K37" s="19">
        <f t="shared" si="3"/>
        <v>-11.446076053332208</v>
      </c>
    </row>
    <row r="38" spans="1:16">
      <c r="A38" s="21">
        <v>1.1990000000000001</v>
      </c>
      <c r="B38" s="21">
        <v>-176.9</v>
      </c>
      <c r="C38" s="21">
        <v>-176.9</v>
      </c>
      <c r="H38" s="19">
        <f t="shared" si="0"/>
        <v>1.6990000000000001</v>
      </c>
      <c r="I38" s="19">
        <f t="shared" si="1"/>
        <v>-236.9</v>
      </c>
      <c r="J38" s="19">
        <f t="shared" si="2"/>
        <v>-2.839416245781814</v>
      </c>
      <c r="K38" s="19">
        <f t="shared" si="3"/>
        <v>0.98378522949372904</v>
      </c>
    </row>
    <row r="39" spans="1:16">
      <c r="A39" s="21">
        <v>1.2330000000000001</v>
      </c>
      <c r="B39" s="21">
        <v>178.2</v>
      </c>
      <c r="C39" s="21">
        <v>-181.8</v>
      </c>
      <c r="H39" s="19">
        <f t="shared" si="0"/>
        <v>1.7330000000000001</v>
      </c>
      <c r="I39" s="19">
        <f t="shared" si="1"/>
        <v>-243.6</v>
      </c>
      <c r="J39" s="19">
        <f t="shared" si="2"/>
        <v>-2.6049690328273596</v>
      </c>
      <c r="K39" s="19">
        <f t="shared" si="3"/>
        <v>6.0676574034646604</v>
      </c>
    </row>
    <row r="40" spans="1:16">
      <c r="A40" s="21">
        <v>1.266</v>
      </c>
      <c r="B40" s="21">
        <v>174.7</v>
      </c>
      <c r="C40" s="21">
        <v>-185.3</v>
      </c>
      <c r="H40" s="40">
        <f t="shared" si="0"/>
        <v>1.766</v>
      </c>
      <c r="I40" s="40">
        <f t="shared" si="1"/>
        <v>-246.9</v>
      </c>
      <c r="J40" s="40">
        <f t="shared" si="2"/>
        <v>-2.432883199749682</v>
      </c>
      <c r="K40" s="40">
        <f t="shared" si="3"/>
        <v>-7.8938455540222083</v>
      </c>
    </row>
    <row r="41" spans="1:16">
      <c r="A41" s="21">
        <v>1.2989999999999999</v>
      </c>
      <c r="B41" s="21">
        <v>172.8</v>
      </c>
      <c r="C41" s="21">
        <v>-187.2</v>
      </c>
      <c r="H41" s="19">
        <f t="shared" si="0"/>
        <v>1.7989999999999999</v>
      </c>
      <c r="I41" s="19">
        <f t="shared" si="1"/>
        <v>-252.8</v>
      </c>
      <c r="J41" s="19">
        <f t="shared" si="2"/>
        <v>-3.125962839392824</v>
      </c>
      <c r="K41" s="19">
        <f t="shared" si="3"/>
        <v>-10.344472233479694</v>
      </c>
    </row>
    <row r="42" spans="1:16">
      <c r="A42" s="21">
        <v>1.333</v>
      </c>
      <c r="B42" s="21">
        <v>168.7</v>
      </c>
      <c r="C42" s="21">
        <v>-191.3</v>
      </c>
      <c r="H42" s="19">
        <f t="shared" si="0"/>
        <v>1.833</v>
      </c>
      <c r="I42" s="19">
        <f t="shared" si="1"/>
        <v>-258.89999999999998</v>
      </c>
      <c r="J42" s="19">
        <f t="shared" si="2"/>
        <v>-3.1259628393928209</v>
      </c>
      <c r="K42" s="19">
        <f t="shared" si="3"/>
        <v>1.2665498463542877</v>
      </c>
    </row>
    <row r="43" spans="1:16">
      <c r="A43" s="21">
        <v>1.3660000000000001</v>
      </c>
      <c r="B43" s="21">
        <v>164.4</v>
      </c>
      <c r="C43" s="21">
        <v>-195.6</v>
      </c>
      <c r="H43" s="19">
        <f t="shared" si="0"/>
        <v>1.8660000000000001</v>
      </c>
      <c r="I43" s="19">
        <f t="shared" si="1"/>
        <v>-264.8</v>
      </c>
      <c r="J43" s="19">
        <f t="shared" si="2"/>
        <v>-3.0411039996870866</v>
      </c>
      <c r="K43" s="19">
        <f t="shared" si="3"/>
        <v>-24.076228939768018</v>
      </c>
    </row>
    <row r="44" spans="1:16">
      <c r="A44" s="21">
        <v>1.399</v>
      </c>
      <c r="B44" s="21">
        <v>161.5</v>
      </c>
      <c r="C44" s="21">
        <v>-198.5</v>
      </c>
      <c r="H44" s="40">
        <f t="shared" si="0"/>
        <v>1.899</v>
      </c>
      <c r="I44" s="40">
        <f t="shared" si="1"/>
        <v>-270.39999999999998</v>
      </c>
      <c r="J44" s="40">
        <f t="shared" si="2"/>
        <v>-4.7149939494175115</v>
      </c>
      <c r="K44" s="40">
        <f t="shared" si="3"/>
        <v>-21.873021300063435</v>
      </c>
    </row>
    <row r="45" spans="1:16">
      <c r="A45" s="21">
        <v>1.4330000000000001</v>
      </c>
      <c r="B45" s="21">
        <v>156.5</v>
      </c>
      <c r="C45" s="21">
        <v>-203.5</v>
      </c>
      <c r="H45" s="19">
        <f t="shared" si="0"/>
        <v>1.9330000000000001</v>
      </c>
      <c r="I45" s="19">
        <f t="shared" si="1"/>
        <v>-282.89999999999998</v>
      </c>
      <c r="J45" s="19">
        <f t="shared" si="2"/>
        <v>-4.5065964267913357</v>
      </c>
      <c r="K45" s="19">
        <f t="shared" si="3"/>
        <v>19.063047920012025</v>
      </c>
    </row>
    <row r="46" spans="1:16">
      <c r="A46" s="21">
        <v>1.466</v>
      </c>
      <c r="B46" s="21">
        <v>153.30000000000001</v>
      </c>
      <c r="C46" s="21">
        <v>-206.7</v>
      </c>
      <c r="H46" s="19">
        <f t="shared" si="0"/>
        <v>1.966</v>
      </c>
      <c r="I46" s="19">
        <f t="shared" si="1"/>
        <v>-287.7</v>
      </c>
      <c r="J46" s="19">
        <f t="shared" si="2"/>
        <v>-3.4377697387767068</v>
      </c>
      <c r="K46" s="19">
        <f t="shared" si="3"/>
        <v>6.5782046283519335</v>
      </c>
    </row>
    <row r="47" spans="1:16">
      <c r="A47" s="21">
        <v>1.4990000000000001</v>
      </c>
      <c r="B47" s="21">
        <v>149.30000000000001</v>
      </c>
      <c r="C47" s="21">
        <v>-210.7</v>
      </c>
      <c r="H47" s="19">
        <f t="shared" si="0"/>
        <v>1.9990000000000001</v>
      </c>
      <c r="I47" s="19">
        <f t="shared" si="1"/>
        <v>-295.89999999999998</v>
      </c>
      <c r="J47" s="19">
        <f t="shared" si="2"/>
        <v>-4.0724349213201076</v>
      </c>
      <c r="K47" s="19">
        <f t="shared" si="3"/>
        <v>0.38273190564922172</v>
      </c>
    </row>
    <row r="48" spans="1:16">
      <c r="A48" s="21">
        <v>1.5329999999999999</v>
      </c>
      <c r="B48" s="21">
        <v>142.9</v>
      </c>
      <c r="C48" s="21">
        <v>-217.1</v>
      </c>
      <c r="H48" s="19">
        <f t="shared" si="0"/>
        <v>2.032</v>
      </c>
      <c r="I48" s="19">
        <f t="shared" si="1"/>
        <v>-303.10000000000002</v>
      </c>
      <c r="J48" s="19">
        <f t="shared" si="2"/>
        <v>-3.4125094330038581</v>
      </c>
      <c r="K48" s="19">
        <f t="shared" si="3"/>
        <v>9.0720314576081371</v>
      </c>
    </row>
    <row r="49" spans="1:11">
      <c r="A49" s="21">
        <v>1.5660000000000001</v>
      </c>
      <c r="B49" s="21">
        <v>140.6</v>
      </c>
      <c r="C49" s="21">
        <v>-219.4</v>
      </c>
      <c r="H49" s="19">
        <f t="shared" si="0"/>
        <v>2.0659999999999998</v>
      </c>
      <c r="I49" s="19">
        <f t="shared" si="1"/>
        <v>-309</v>
      </c>
      <c r="J49" s="19">
        <f t="shared" si="2"/>
        <v>-3.464608813660365</v>
      </c>
      <c r="K49" s="19">
        <f t="shared" si="3"/>
        <v>-8.2708650431690618</v>
      </c>
    </row>
    <row r="50" spans="1:11">
      <c r="A50" s="21">
        <v>1.599</v>
      </c>
      <c r="B50" s="21">
        <v>135.30000000000001</v>
      </c>
      <c r="C50" s="21">
        <v>-224.7</v>
      </c>
      <c r="H50" s="40">
        <f t="shared" si="0"/>
        <v>2.0990000000000002</v>
      </c>
      <c r="I50" s="40">
        <f t="shared" si="1"/>
        <v>-316.39999999999998</v>
      </c>
      <c r="J50" s="40">
        <f t="shared" si="2"/>
        <v>-3.9666573908961866</v>
      </c>
      <c r="K50" s="40">
        <f t="shared" si="3"/>
        <v>-12.630152886436191</v>
      </c>
    </row>
    <row r="51" spans="1:11">
      <c r="A51" s="21">
        <v>1.633</v>
      </c>
      <c r="B51" s="21">
        <v>133.19999999999999</v>
      </c>
      <c r="C51" s="21">
        <v>-226.8</v>
      </c>
      <c r="H51" s="19">
        <f t="shared" si="0"/>
        <v>2.1320000000000001</v>
      </c>
      <c r="I51" s="19">
        <f t="shared" si="1"/>
        <v>-324</v>
      </c>
      <c r="J51" s="19">
        <f t="shared" si="2"/>
        <v>-4.2981989041651572</v>
      </c>
      <c r="K51" s="19">
        <f t="shared" si="3"/>
        <v>-3.0043740541433368</v>
      </c>
    </row>
    <row r="52" spans="1:11">
      <c r="A52" s="21">
        <v>1.6659999999999999</v>
      </c>
      <c r="B52" s="21">
        <v>127.3</v>
      </c>
      <c r="C52" s="21">
        <v>-232.7</v>
      </c>
      <c r="H52" s="19">
        <f t="shared" si="0"/>
        <v>2.1659999999999999</v>
      </c>
      <c r="I52" s="19">
        <f t="shared" si="1"/>
        <v>-332.9</v>
      </c>
      <c r="J52" s="19">
        <f t="shared" si="2"/>
        <v>-4.1679504525237894</v>
      </c>
      <c r="K52" s="19">
        <f t="shared" si="3"/>
        <v>20.341379625402663</v>
      </c>
    </row>
    <row r="53" spans="1:11">
      <c r="A53" s="21">
        <v>1.6990000000000001</v>
      </c>
      <c r="B53" s="21">
        <v>123.1</v>
      </c>
      <c r="C53" s="21">
        <v>-236.9</v>
      </c>
      <c r="H53" s="19">
        <f t="shared" si="0"/>
        <v>2.1989999999999998</v>
      </c>
      <c r="I53" s="19">
        <f t="shared" si="1"/>
        <v>-340</v>
      </c>
      <c r="J53" s="19">
        <f t="shared" si="2"/>
        <v>-2.9353264692631842</v>
      </c>
      <c r="K53" s="19">
        <f t="shared" si="3"/>
        <v>18.550537051952649</v>
      </c>
    </row>
    <row r="54" spans="1:11">
      <c r="A54" s="21">
        <v>1.7330000000000001</v>
      </c>
      <c r="B54" s="21">
        <v>116.4</v>
      </c>
      <c r="C54" s="21">
        <v>-243.6</v>
      </c>
      <c r="H54" s="19">
        <f t="shared" si="0"/>
        <v>2.2320000000000002</v>
      </c>
      <c r="I54" s="19">
        <f t="shared" si="1"/>
        <v>-344</v>
      </c>
      <c r="J54" s="19">
        <f t="shared" si="2"/>
        <v>-2.9436150070949094</v>
      </c>
      <c r="K54" s="19">
        <f t="shared" si="3"/>
        <v>-0.51251086805984247</v>
      </c>
    </row>
    <row r="55" spans="1:11">
      <c r="A55" s="21">
        <v>1.766</v>
      </c>
      <c r="B55" s="21">
        <v>113.1</v>
      </c>
      <c r="C55" s="21">
        <v>-246.9</v>
      </c>
      <c r="H55" s="19">
        <f t="shared" si="0"/>
        <v>2.266</v>
      </c>
      <c r="I55" s="19">
        <f t="shared" si="1"/>
        <v>-351.3</v>
      </c>
      <c r="J55" s="19">
        <f t="shared" si="2"/>
        <v>-2.9696646974231937</v>
      </c>
      <c r="K55" s="19">
        <f t="shared" si="3"/>
        <v>0.12370951987643018</v>
      </c>
    </row>
    <row r="56" spans="1:11">
      <c r="A56" s="21">
        <v>1.7989999999999999</v>
      </c>
      <c r="B56" s="21">
        <v>107.2</v>
      </c>
      <c r="C56" s="21">
        <v>-252.8</v>
      </c>
      <c r="H56" s="19">
        <f t="shared" si="0"/>
        <v>2.2989999999999999</v>
      </c>
      <c r="I56" s="19">
        <f t="shared" si="1"/>
        <v>-355.4</v>
      </c>
      <c r="J56" s="19">
        <f t="shared" si="2"/>
        <v>-2.9353264692631886</v>
      </c>
      <c r="K56" s="19">
        <f t="shared" si="3"/>
        <v>-15.787691108044525</v>
      </c>
    </row>
    <row r="57" spans="1:11">
      <c r="A57" s="21">
        <v>1.833</v>
      </c>
      <c r="B57" s="21">
        <v>101.1</v>
      </c>
      <c r="C57" s="21">
        <v>-258.89999999999998</v>
      </c>
      <c r="H57">
        <f t="shared" si="0"/>
        <v>2.3319999999999999</v>
      </c>
      <c r="I57">
        <f t="shared" si="1"/>
        <v>-362.4</v>
      </c>
      <c r="J57">
        <f t="shared" si="2"/>
        <v>-4.0116523105541297</v>
      </c>
    </row>
    <row r="58" spans="1:11">
      <c r="A58" s="21">
        <v>1.8660000000000001</v>
      </c>
      <c r="B58" s="21">
        <v>95.2</v>
      </c>
      <c r="C58" s="21">
        <v>-264.8</v>
      </c>
      <c r="H58">
        <f t="shared" si="0"/>
        <v>2.3660000000000001</v>
      </c>
      <c r="I58">
        <f t="shared" si="1"/>
        <v>-370.8</v>
      </c>
      <c r="J58">
        <f t="shared" si="2"/>
        <v>-3.0999131490645562</v>
      </c>
    </row>
    <row r="59" spans="1:11">
      <c r="A59" s="21">
        <v>1.899</v>
      </c>
      <c r="B59" s="21">
        <v>89.6</v>
      </c>
      <c r="C59" s="21">
        <v>-270.39999999999998</v>
      </c>
      <c r="H59">
        <f t="shared" si="0"/>
        <v>2.399</v>
      </c>
      <c r="I59">
        <f t="shared" si="1"/>
        <v>-374.3</v>
      </c>
      <c r="J59">
        <f t="shared" si="2"/>
        <v>-3.0939927648990433</v>
      </c>
    </row>
    <row r="60" spans="1:11">
      <c r="A60" s="21">
        <v>1.9330000000000001</v>
      </c>
      <c r="B60" s="21">
        <v>77.099999999999994</v>
      </c>
      <c r="C60" s="21">
        <v>-282.89999999999998</v>
      </c>
      <c r="H60">
        <f t="shared" si="0"/>
        <v>2.4319999999999999</v>
      </c>
      <c r="I60">
        <f t="shared" si="1"/>
        <v>-382.5</v>
      </c>
      <c r="J60">
        <f t="shared" si="2"/>
        <v>-4.2200498331803056</v>
      </c>
    </row>
    <row r="61" spans="1:11">
      <c r="A61" s="21">
        <v>1.966</v>
      </c>
      <c r="B61" s="21">
        <v>72.3</v>
      </c>
      <c r="C61" s="21">
        <v>-287.7</v>
      </c>
      <c r="H61">
        <f t="shared" si="0"/>
        <v>2.4660000000000002</v>
      </c>
      <c r="I61">
        <f t="shared" si="1"/>
        <v>-390.5</v>
      </c>
      <c r="J61">
        <f t="shared" si="2"/>
        <v>-3.2562112910341887</v>
      </c>
    </row>
    <row r="62" spans="1:11">
      <c r="A62" s="21">
        <v>1.9990000000000001</v>
      </c>
      <c r="B62" s="21">
        <v>64.099999999999994</v>
      </c>
      <c r="C62" s="21">
        <v>-295.89999999999998</v>
      </c>
      <c r="H62">
        <f t="shared" si="0"/>
        <v>2.4990000000000001</v>
      </c>
      <c r="I62">
        <f t="shared" si="1"/>
        <v>-395</v>
      </c>
      <c r="J62">
        <f t="shared" si="2"/>
        <v>-2.829548938839296</v>
      </c>
    </row>
    <row r="63" spans="1:11">
      <c r="A63" s="21">
        <v>2.032</v>
      </c>
      <c r="B63" s="21">
        <v>56.9</v>
      </c>
      <c r="C63" s="21">
        <v>-303.10000000000002</v>
      </c>
      <c r="H63">
        <f t="shared" si="0"/>
        <v>2.532</v>
      </c>
      <c r="I63">
        <f t="shared" si="1"/>
        <v>-401.2</v>
      </c>
      <c r="J63">
        <f t="shared" si="2"/>
        <v>-2.4747205811859998</v>
      </c>
    </row>
    <row r="64" spans="1:11">
      <c r="A64" s="21">
        <v>2.0659999999999998</v>
      </c>
      <c r="B64" s="21">
        <v>51</v>
      </c>
      <c r="C64" s="21">
        <v>-309</v>
      </c>
      <c r="H64">
        <f t="shared" si="0"/>
        <v>2.5659999999999998</v>
      </c>
      <c r="I64">
        <f t="shared" si="1"/>
        <v>-404.5</v>
      </c>
      <c r="J64">
        <f t="shared" si="2"/>
        <v>-2.2923727488880719</v>
      </c>
    </row>
    <row r="65" spans="1:10">
      <c r="A65" s="21">
        <v>2.0990000000000002</v>
      </c>
      <c r="B65" s="21">
        <v>43.6</v>
      </c>
      <c r="C65" s="21">
        <v>-316.39999999999998</v>
      </c>
      <c r="H65">
        <f t="shared" si="0"/>
        <v>2.5990000000000002</v>
      </c>
      <c r="I65">
        <f t="shared" si="1"/>
        <v>-410</v>
      </c>
      <c r="J65">
        <f t="shared" si="2"/>
        <v>-3.4642141213826756</v>
      </c>
    </row>
    <row r="66" spans="1:10">
      <c r="A66" s="21">
        <v>2.1320000000000001</v>
      </c>
      <c r="B66" s="21">
        <v>36</v>
      </c>
      <c r="C66" s="21">
        <v>-324</v>
      </c>
      <c r="H66">
        <f t="shared" si="0"/>
        <v>2.6320000000000001</v>
      </c>
      <c r="I66">
        <f t="shared" si="1"/>
        <v>-417.6</v>
      </c>
      <c r="J66">
        <f t="shared" si="2"/>
        <v>-4.1419007621955091</v>
      </c>
    </row>
    <row r="67" spans="1:10">
      <c r="A67" s="21">
        <v>2.1659999999999999</v>
      </c>
      <c r="B67" s="21">
        <v>27.1</v>
      </c>
      <c r="C67" s="21">
        <v>-332.9</v>
      </c>
      <c r="H67">
        <f t="shared" ref="H67:H130" si="5">A82</f>
        <v>2.6659999999999999</v>
      </c>
      <c r="I67">
        <f t="shared" ref="I67:I130" si="6">C82</f>
        <v>-425.9</v>
      </c>
      <c r="J67">
        <f t="shared" ref="J67:J123" si="7">((C83-C81)/(A83-A81))*(PI()/180)</f>
        <v>-3.4385591233321229</v>
      </c>
    </row>
    <row r="68" spans="1:10">
      <c r="A68" s="21">
        <v>2.1989999999999998</v>
      </c>
      <c r="B68" s="21">
        <v>20</v>
      </c>
      <c r="C68" s="21">
        <v>-340</v>
      </c>
      <c r="H68">
        <f t="shared" si="5"/>
        <v>2.6989999999999998</v>
      </c>
      <c r="I68">
        <f t="shared" si="6"/>
        <v>-430.8</v>
      </c>
      <c r="J68">
        <f t="shared" si="7"/>
        <v>-2.8559933214452573</v>
      </c>
    </row>
    <row r="69" spans="1:10">
      <c r="A69" s="21">
        <v>2.2320000000000002</v>
      </c>
      <c r="B69" s="21">
        <v>16</v>
      </c>
      <c r="C69" s="21">
        <v>-344</v>
      </c>
      <c r="H69">
        <f t="shared" si="5"/>
        <v>2.7320000000000002</v>
      </c>
      <c r="I69">
        <f t="shared" si="6"/>
        <v>-436.7</v>
      </c>
      <c r="J69">
        <f t="shared" si="7"/>
        <v>-3.3584365909587683</v>
      </c>
    </row>
    <row r="70" spans="1:10">
      <c r="A70" s="21">
        <v>2.266</v>
      </c>
      <c r="B70" s="21">
        <v>8.6999999999999993</v>
      </c>
      <c r="C70" s="21">
        <v>-351.3</v>
      </c>
      <c r="H70">
        <f t="shared" si="5"/>
        <v>2.7650000000000001</v>
      </c>
      <c r="I70">
        <f t="shared" si="6"/>
        <v>-443.5</v>
      </c>
      <c r="J70">
        <f t="shared" si="7"/>
        <v>-3.0478137684080178</v>
      </c>
    </row>
    <row r="71" spans="1:10">
      <c r="A71" s="21">
        <v>2.2989999999999999</v>
      </c>
      <c r="B71" s="21">
        <v>4.5999999999999996</v>
      </c>
      <c r="C71" s="21">
        <v>-355.4</v>
      </c>
      <c r="H71">
        <f t="shared" si="5"/>
        <v>2.7989999999999999</v>
      </c>
      <c r="I71">
        <f t="shared" si="6"/>
        <v>-448.4</v>
      </c>
      <c r="J71">
        <f t="shared" si="7"/>
        <v>-2.8654659361101049</v>
      </c>
    </row>
    <row r="72" spans="1:10">
      <c r="A72" s="21">
        <v>2.3319999999999999</v>
      </c>
      <c r="B72" s="21">
        <v>-2.4</v>
      </c>
      <c r="C72" s="21">
        <v>-362.4</v>
      </c>
      <c r="H72">
        <f t="shared" si="5"/>
        <v>2.8319999999999999</v>
      </c>
      <c r="I72">
        <f t="shared" si="6"/>
        <v>-454.5</v>
      </c>
      <c r="J72">
        <f t="shared" si="7"/>
        <v>-2.7502157910213652</v>
      </c>
    </row>
    <row r="73" spans="1:10">
      <c r="A73" s="21">
        <v>2.3660000000000001</v>
      </c>
      <c r="B73" s="21">
        <v>-10.8</v>
      </c>
      <c r="C73" s="21">
        <v>-370.8</v>
      </c>
      <c r="H73">
        <f t="shared" si="5"/>
        <v>2.8650000000000002</v>
      </c>
      <c r="I73">
        <f t="shared" si="6"/>
        <v>-458.8</v>
      </c>
      <c r="J73">
        <f t="shared" si="7"/>
        <v>-2.2402733682315277</v>
      </c>
    </row>
    <row r="74" spans="1:10">
      <c r="A74" s="21">
        <v>2.399</v>
      </c>
      <c r="B74" s="21">
        <v>-14.3</v>
      </c>
      <c r="C74" s="21">
        <v>-374.3</v>
      </c>
      <c r="H74">
        <f t="shared" si="5"/>
        <v>2.899</v>
      </c>
      <c r="I74">
        <f t="shared" si="6"/>
        <v>-463.1</v>
      </c>
      <c r="J74">
        <f t="shared" si="7"/>
        <v>-2.9957143877514736</v>
      </c>
    </row>
    <row r="75" spans="1:10">
      <c r="A75" s="21">
        <v>2.4319999999999999</v>
      </c>
      <c r="B75" s="21">
        <v>-22.5</v>
      </c>
      <c r="C75" s="21">
        <v>-382.5</v>
      </c>
      <c r="H75">
        <f t="shared" si="5"/>
        <v>2.9319999999999999</v>
      </c>
      <c r="I75">
        <f t="shared" si="6"/>
        <v>-470.3</v>
      </c>
      <c r="J75">
        <f t="shared" si="7"/>
        <v>-4.2839899821679071</v>
      </c>
    </row>
    <row r="76" spans="1:10">
      <c r="A76" s="21">
        <v>2.4660000000000002</v>
      </c>
      <c r="B76" s="21">
        <v>-30.5</v>
      </c>
      <c r="C76" s="21">
        <v>-390.5</v>
      </c>
      <c r="H76">
        <f t="shared" si="5"/>
        <v>2.9649999999999999</v>
      </c>
      <c r="I76">
        <f t="shared" si="6"/>
        <v>-479.3</v>
      </c>
      <c r="J76">
        <f t="shared" si="7"/>
        <v>-4.6368448784326883</v>
      </c>
    </row>
    <row r="77" spans="1:10">
      <c r="A77" s="21">
        <v>2.4990000000000001</v>
      </c>
      <c r="B77" s="21">
        <v>-35</v>
      </c>
      <c r="C77" s="21">
        <v>-395</v>
      </c>
      <c r="H77">
        <f t="shared" si="5"/>
        <v>2.9990000000000001</v>
      </c>
      <c r="I77">
        <f t="shared" si="6"/>
        <v>-488.1</v>
      </c>
      <c r="J77">
        <f t="shared" si="7"/>
        <v>-3.4385591233321002</v>
      </c>
    </row>
    <row r="78" spans="1:10">
      <c r="A78" s="21">
        <v>2.532</v>
      </c>
      <c r="B78" s="21">
        <v>-41.2</v>
      </c>
      <c r="C78" s="21">
        <v>-401.2</v>
      </c>
      <c r="H78">
        <f t="shared" si="5"/>
        <v>3.032</v>
      </c>
      <c r="I78">
        <f t="shared" si="6"/>
        <v>-492.5</v>
      </c>
      <c r="J78">
        <f t="shared" si="7"/>
        <v>-1.9833286954481069</v>
      </c>
    </row>
    <row r="79" spans="1:10">
      <c r="A79" s="21">
        <v>2.5659999999999998</v>
      </c>
      <c r="B79" s="21">
        <v>-44.5</v>
      </c>
      <c r="C79" s="21">
        <v>-404.5</v>
      </c>
      <c r="H79">
        <f t="shared" si="5"/>
        <v>3.0649999999999999</v>
      </c>
      <c r="I79">
        <f t="shared" si="6"/>
        <v>-495.6</v>
      </c>
      <c r="J79">
        <f t="shared" si="7"/>
        <v>-2.2402733682315277</v>
      </c>
    </row>
    <row r="80" spans="1:10">
      <c r="A80" s="21">
        <v>2.5990000000000002</v>
      </c>
      <c r="B80" s="21">
        <v>-50</v>
      </c>
      <c r="C80" s="21">
        <v>-410</v>
      </c>
      <c r="H80">
        <f t="shared" si="5"/>
        <v>3.0990000000000002</v>
      </c>
      <c r="I80">
        <f t="shared" si="6"/>
        <v>-501.1</v>
      </c>
      <c r="J80">
        <f t="shared" si="7"/>
        <v>-2.5789193424990713</v>
      </c>
    </row>
    <row r="81" spans="1:10">
      <c r="A81" s="21">
        <v>2.6320000000000001</v>
      </c>
      <c r="B81" s="21">
        <v>-57.6</v>
      </c>
      <c r="C81" s="21">
        <v>-417.6</v>
      </c>
      <c r="H81">
        <f t="shared" si="5"/>
        <v>3.1320000000000001</v>
      </c>
      <c r="I81">
        <f t="shared" si="6"/>
        <v>-505.5</v>
      </c>
      <c r="J81">
        <f t="shared" si="7"/>
        <v>-1.9039955476301795</v>
      </c>
    </row>
    <row r="82" spans="1:10">
      <c r="A82" s="21">
        <v>2.6659999999999999</v>
      </c>
      <c r="B82" s="21">
        <v>-65.900000000000006</v>
      </c>
      <c r="C82" s="21">
        <v>-425.9</v>
      </c>
      <c r="H82">
        <f t="shared" si="5"/>
        <v>3.165</v>
      </c>
      <c r="I82">
        <f t="shared" si="6"/>
        <v>-508.3</v>
      </c>
      <c r="J82">
        <f t="shared" si="7"/>
        <v>-1.7453292519943484</v>
      </c>
    </row>
    <row r="83" spans="1:10">
      <c r="A83" s="21">
        <v>2.6989999999999998</v>
      </c>
      <c r="B83" s="21">
        <v>-70.8</v>
      </c>
      <c r="C83" s="21">
        <v>-430.8</v>
      </c>
      <c r="H83">
        <f t="shared" si="5"/>
        <v>3.1989999999999998</v>
      </c>
      <c r="I83">
        <f t="shared" si="6"/>
        <v>-512.20000000000005</v>
      </c>
      <c r="J83">
        <f t="shared" si="7"/>
        <v>-2.1360746069184247</v>
      </c>
    </row>
    <row r="84" spans="1:10">
      <c r="A84" s="21">
        <v>2.7320000000000002</v>
      </c>
      <c r="B84" s="21">
        <v>-76.7</v>
      </c>
      <c r="C84" s="21">
        <v>-436.7</v>
      </c>
      <c r="H84">
        <f t="shared" si="5"/>
        <v>3.2320000000000002</v>
      </c>
      <c r="I84">
        <f t="shared" si="6"/>
        <v>-516.5</v>
      </c>
      <c r="J84">
        <f t="shared" si="7"/>
        <v>-2.6444382605974579</v>
      </c>
    </row>
    <row r="85" spans="1:10">
      <c r="A85" s="21">
        <v>2.7650000000000001</v>
      </c>
      <c r="B85" s="21">
        <v>-83.5</v>
      </c>
      <c r="C85" s="21">
        <v>-443.5</v>
      </c>
      <c r="H85">
        <f t="shared" si="5"/>
        <v>3.2650000000000001</v>
      </c>
      <c r="I85">
        <f t="shared" si="6"/>
        <v>-522.20000000000005</v>
      </c>
      <c r="J85">
        <f t="shared" si="7"/>
        <v>-1.953726774620526</v>
      </c>
    </row>
    <row r="86" spans="1:10">
      <c r="A86" s="21">
        <v>2.7989999999999999</v>
      </c>
      <c r="B86" s="21">
        <v>-88.4</v>
      </c>
      <c r="C86" s="21">
        <v>-448.4</v>
      </c>
      <c r="H86">
        <f t="shared" si="5"/>
        <v>3.2989999999999999</v>
      </c>
      <c r="I86">
        <f t="shared" si="6"/>
        <v>-524</v>
      </c>
      <c r="J86">
        <f t="shared" si="7"/>
        <v>-2.0839752262618947</v>
      </c>
    </row>
    <row r="87" spans="1:10">
      <c r="A87" s="21">
        <v>2.8319999999999999</v>
      </c>
      <c r="B87" s="21">
        <v>-94.5</v>
      </c>
      <c r="C87" s="21">
        <v>-454.5</v>
      </c>
      <c r="H87">
        <f t="shared" si="5"/>
        <v>3.3319999999999999</v>
      </c>
      <c r="I87">
        <f t="shared" si="6"/>
        <v>-530.20000000000005</v>
      </c>
      <c r="J87">
        <f t="shared" si="7"/>
        <v>-2.5386607301735653</v>
      </c>
    </row>
    <row r="88" spans="1:10">
      <c r="A88" s="21">
        <v>2.8650000000000002</v>
      </c>
      <c r="B88" s="21">
        <v>-98.8</v>
      </c>
      <c r="C88" s="21">
        <v>-458.8</v>
      </c>
      <c r="H88">
        <f t="shared" si="5"/>
        <v>3.3650000000000002</v>
      </c>
      <c r="I88">
        <f t="shared" si="6"/>
        <v>-533.6</v>
      </c>
      <c r="J88">
        <f t="shared" si="7"/>
        <v>-1.536931729368131</v>
      </c>
    </row>
    <row r="89" spans="1:10">
      <c r="A89" s="21">
        <v>2.899</v>
      </c>
      <c r="B89" s="21">
        <v>-103.1</v>
      </c>
      <c r="C89" s="21">
        <v>-463.1</v>
      </c>
      <c r="H89">
        <f t="shared" si="5"/>
        <v>3.399</v>
      </c>
      <c r="I89">
        <f t="shared" si="6"/>
        <v>-536.1</v>
      </c>
      <c r="J89">
        <f t="shared" si="7"/>
        <v>-1.302484516413684</v>
      </c>
    </row>
    <row r="90" spans="1:10">
      <c r="A90" s="21">
        <v>2.9319999999999999</v>
      </c>
      <c r="B90" s="21">
        <v>-110.3</v>
      </c>
      <c r="C90" s="21">
        <v>-470.3</v>
      </c>
      <c r="H90">
        <f t="shared" si="5"/>
        <v>3.4319999999999999</v>
      </c>
      <c r="I90">
        <f t="shared" si="6"/>
        <v>-538.6</v>
      </c>
      <c r="J90">
        <f t="shared" si="7"/>
        <v>-1.4015522781166501</v>
      </c>
    </row>
    <row r="91" spans="1:10">
      <c r="A91" s="21">
        <v>2.9649999999999999</v>
      </c>
      <c r="B91" s="21">
        <v>-119.3</v>
      </c>
      <c r="C91" s="21">
        <v>-479.3</v>
      </c>
      <c r="H91">
        <f t="shared" si="5"/>
        <v>3.4649999999999999</v>
      </c>
      <c r="I91">
        <f t="shared" si="6"/>
        <v>-541.4</v>
      </c>
      <c r="J91">
        <f t="shared" si="7"/>
        <v>-2.0318758456053221</v>
      </c>
    </row>
    <row r="92" spans="1:10">
      <c r="A92" s="21">
        <v>2.9990000000000001</v>
      </c>
      <c r="B92" s="21">
        <v>-128.1</v>
      </c>
      <c r="C92" s="21">
        <v>-488.1</v>
      </c>
      <c r="H92">
        <f t="shared" si="5"/>
        <v>3.4990000000000001</v>
      </c>
      <c r="I92">
        <f t="shared" si="6"/>
        <v>-546.4</v>
      </c>
      <c r="J92">
        <f t="shared" si="7"/>
        <v>-2.0579255359336015</v>
      </c>
    </row>
    <row r="93" spans="1:10">
      <c r="A93" s="21">
        <v>3.032</v>
      </c>
      <c r="B93" s="21">
        <v>-132.5</v>
      </c>
      <c r="C93" s="21">
        <v>-492.5</v>
      </c>
      <c r="H93">
        <f t="shared" si="5"/>
        <v>3.532</v>
      </c>
      <c r="I93">
        <f t="shared" si="6"/>
        <v>-549.29999999999995</v>
      </c>
      <c r="J93">
        <f t="shared" si="7"/>
        <v>-1.9304399302361752</v>
      </c>
    </row>
    <row r="94" spans="1:10">
      <c r="A94" s="21">
        <v>3.0649999999999999</v>
      </c>
      <c r="B94" s="21">
        <v>-135.6</v>
      </c>
      <c r="C94" s="21">
        <v>-495.6</v>
      </c>
      <c r="H94">
        <f t="shared" si="5"/>
        <v>3.5649999999999999</v>
      </c>
      <c r="I94">
        <f t="shared" si="6"/>
        <v>-553.70000000000005</v>
      </c>
      <c r="J94">
        <f t="shared" si="7"/>
        <v>-2.1155506084779807</v>
      </c>
    </row>
    <row r="95" spans="1:10">
      <c r="A95" s="21">
        <v>3.0990000000000002</v>
      </c>
      <c r="B95" s="21">
        <v>-141.1</v>
      </c>
      <c r="C95" s="21">
        <v>-501.1</v>
      </c>
      <c r="H95">
        <f t="shared" si="5"/>
        <v>3.5979999999999999</v>
      </c>
      <c r="I95">
        <f t="shared" si="6"/>
        <v>-557.29999999999995</v>
      </c>
      <c r="J95">
        <f t="shared" si="7"/>
        <v>-1.5890311100246604</v>
      </c>
    </row>
    <row r="96" spans="1:10">
      <c r="A96" s="21">
        <v>3.1320000000000001</v>
      </c>
      <c r="B96" s="21">
        <v>-145.5</v>
      </c>
      <c r="C96" s="21">
        <v>-505.5</v>
      </c>
      <c r="H96">
        <f t="shared" si="5"/>
        <v>3.6320000000000001</v>
      </c>
      <c r="I96">
        <f t="shared" si="6"/>
        <v>-559.79999999999995</v>
      </c>
      <c r="J96">
        <f t="shared" si="7"/>
        <v>-1.7713789423226165</v>
      </c>
    </row>
    <row r="97" spans="1:10">
      <c r="A97" s="21">
        <v>3.165</v>
      </c>
      <c r="B97" s="21">
        <v>-148.30000000000001</v>
      </c>
      <c r="C97" s="21">
        <v>-508.3</v>
      </c>
      <c r="H97">
        <f t="shared" si="5"/>
        <v>3.665</v>
      </c>
      <c r="I97">
        <f t="shared" si="6"/>
        <v>-564.1</v>
      </c>
      <c r="J97">
        <f t="shared" si="7"/>
        <v>-2.5386607301735822</v>
      </c>
    </row>
    <row r="98" spans="1:10">
      <c r="A98" s="21">
        <v>3.1989999999999998</v>
      </c>
      <c r="B98" s="21">
        <v>-152.19999999999999</v>
      </c>
      <c r="C98" s="21">
        <v>-512.20000000000005</v>
      </c>
      <c r="H98">
        <f t="shared" si="5"/>
        <v>3.698</v>
      </c>
      <c r="I98">
        <f t="shared" si="6"/>
        <v>-569.4</v>
      </c>
      <c r="J98">
        <f t="shared" si="7"/>
        <v>-2.0058261552770422</v>
      </c>
    </row>
    <row r="99" spans="1:10">
      <c r="A99" s="21">
        <v>3.2320000000000002</v>
      </c>
      <c r="B99" s="21">
        <v>-156.5</v>
      </c>
      <c r="C99" s="21">
        <v>-516.5</v>
      </c>
      <c r="H99">
        <f t="shared" si="5"/>
        <v>3.7320000000000002</v>
      </c>
      <c r="I99">
        <f t="shared" si="6"/>
        <v>-571.79999999999995</v>
      </c>
      <c r="J99">
        <f t="shared" si="7"/>
        <v>-1.7453292519943371</v>
      </c>
    </row>
    <row r="100" spans="1:10">
      <c r="A100" s="21">
        <v>3.2650000000000001</v>
      </c>
      <c r="B100" s="21">
        <v>-162.19999999999999</v>
      </c>
      <c r="C100" s="21">
        <v>-522.20000000000005</v>
      </c>
      <c r="H100">
        <f t="shared" si="5"/>
        <v>3.7650000000000001</v>
      </c>
      <c r="I100">
        <f t="shared" si="6"/>
        <v>-576.1</v>
      </c>
      <c r="J100">
        <f t="shared" si="7"/>
        <v>-2.036217460660068</v>
      </c>
    </row>
    <row r="101" spans="1:10">
      <c r="A101" s="21">
        <v>3.2989999999999999</v>
      </c>
      <c r="B101" s="21">
        <v>-164</v>
      </c>
      <c r="C101" s="21">
        <v>-524</v>
      </c>
      <c r="H101">
        <f t="shared" si="5"/>
        <v>3.798</v>
      </c>
      <c r="I101">
        <f t="shared" si="6"/>
        <v>-579.5</v>
      </c>
      <c r="J101">
        <f t="shared" si="7"/>
        <v>-2.657068413483898</v>
      </c>
    </row>
    <row r="102" spans="1:10">
      <c r="A102" s="21">
        <v>3.3319999999999999</v>
      </c>
      <c r="B102" s="21">
        <v>-170.2</v>
      </c>
      <c r="C102" s="21">
        <v>-530.20000000000005</v>
      </c>
      <c r="H102">
        <f t="shared" si="5"/>
        <v>3.8319999999999999</v>
      </c>
      <c r="I102">
        <f t="shared" si="6"/>
        <v>-586.29999999999995</v>
      </c>
      <c r="J102">
        <f t="shared" si="7"/>
        <v>-2.4747205811859834</v>
      </c>
    </row>
    <row r="103" spans="1:10">
      <c r="A103" s="21">
        <v>3.3650000000000002</v>
      </c>
      <c r="B103" s="21">
        <v>-173.6</v>
      </c>
      <c r="C103" s="21">
        <v>-533.6</v>
      </c>
      <c r="H103">
        <f t="shared" si="5"/>
        <v>3.8650000000000002</v>
      </c>
      <c r="I103">
        <f t="shared" si="6"/>
        <v>-589</v>
      </c>
      <c r="J103">
        <f t="shared" si="7"/>
        <v>-1.7982180172062894</v>
      </c>
    </row>
    <row r="104" spans="1:10">
      <c r="A104" s="21">
        <v>3.399</v>
      </c>
      <c r="B104" s="21">
        <v>-176.1</v>
      </c>
      <c r="C104" s="21">
        <v>-536.1</v>
      </c>
      <c r="H104">
        <f t="shared" si="5"/>
        <v>3.8980000000000001</v>
      </c>
      <c r="I104">
        <f t="shared" si="6"/>
        <v>-593.1</v>
      </c>
      <c r="J104">
        <f t="shared" si="7"/>
        <v>-2.2663230585598222</v>
      </c>
    </row>
    <row r="105" spans="1:10">
      <c r="A105" s="21">
        <v>3.4319999999999999</v>
      </c>
      <c r="B105" s="21">
        <v>-178.6</v>
      </c>
      <c r="C105" s="21">
        <v>-538.6</v>
      </c>
      <c r="H105">
        <f t="shared" si="5"/>
        <v>3.9319999999999999</v>
      </c>
      <c r="I105">
        <f t="shared" si="6"/>
        <v>-597.70000000000005</v>
      </c>
      <c r="J105">
        <f t="shared" si="7"/>
        <v>-2.6831181038121774</v>
      </c>
    </row>
    <row r="106" spans="1:10">
      <c r="A106" s="21">
        <v>3.4649999999999999</v>
      </c>
      <c r="B106" s="21">
        <v>178.6</v>
      </c>
      <c r="C106" s="21">
        <v>-541.4</v>
      </c>
      <c r="H106">
        <f t="shared" si="5"/>
        <v>3.9649999999999999</v>
      </c>
      <c r="I106">
        <f t="shared" si="6"/>
        <v>-603.4</v>
      </c>
      <c r="J106">
        <f t="shared" si="7"/>
        <v>-2.30066128671977</v>
      </c>
    </row>
    <row r="107" spans="1:10">
      <c r="A107" s="21">
        <v>3.4990000000000001</v>
      </c>
      <c r="B107" s="21">
        <v>173.6</v>
      </c>
      <c r="C107" s="21">
        <v>-546.4</v>
      </c>
      <c r="H107">
        <f t="shared" si="5"/>
        <v>3.9980000000000002</v>
      </c>
      <c r="I107">
        <f t="shared" si="6"/>
        <v>-606.4</v>
      </c>
      <c r="J107">
        <f t="shared" si="7"/>
        <v>-1.9797764649487926</v>
      </c>
    </row>
    <row r="108" spans="1:10">
      <c r="A108" s="21">
        <v>3.532</v>
      </c>
      <c r="B108" s="21">
        <v>170.7</v>
      </c>
      <c r="C108" s="21">
        <v>-549.29999999999995</v>
      </c>
      <c r="H108">
        <f t="shared" si="5"/>
        <v>4.032</v>
      </c>
      <c r="I108">
        <f t="shared" si="6"/>
        <v>-611</v>
      </c>
      <c r="J108">
        <f t="shared" si="7"/>
        <v>-2.6049690328273507</v>
      </c>
    </row>
    <row r="109" spans="1:10">
      <c r="A109" s="21">
        <v>3.5649999999999999</v>
      </c>
      <c r="B109" s="21">
        <v>166.3</v>
      </c>
      <c r="C109" s="21">
        <v>-553.70000000000005</v>
      </c>
      <c r="H109">
        <f t="shared" si="5"/>
        <v>4.0650000000000004</v>
      </c>
      <c r="I109">
        <f t="shared" si="6"/>
        <v>-616.4</v>
      </c>
      <c r="J109">
        <f t="shared" si="7"/>
        <v>-2.8295489388393107</v>
      </c>
    </row>
    <row r="110" spans="1:10">
      <c r="A110" s="21">
        <v>3.5979999999999999</v>
      </c>
      <c r="B110" s="21">
        <v>162.69999999999999</v>
      </c>
      <c r="C110" s="21">
        <v>-557.29999999999995</v>
      </c>
      <c r="H110">
        <f t="shared" si="5"/>
        <v>4.0979999999999999</v>
      </c>
      <c r="I110">
        <f t="shared" si="6"/>
        <v>-621.70000000000005</v>
      </c>
      <c r="J110">
        <f t="shared" si="7"/>
        <v>-2.865465936110124</v>
      </c>
    </row>
    <row r="111" spans="1:10">
      <c r="A111" s="21">
        <v>3.6320000000000001</v>
      </c>
      <c r="B111" s="21">
        <v>160.19999999999999</v>
      </c>
      <c r="C111" s="21">
        <v>-559.79999999999995</v>
      </c>
      <c r="H111">
        <f t="shared" si="5"/>
        <v>4.1319999999999997</v>
      </c>
      <c r="I111">
        <f t="shared" si="6"/>
        <v>-627.4</v>
      </c>
      <c r="J111">
        <f t="shared" si="7"/>
        <v>-3.2822609813624384</v>
      </c>
    </row>
    <row r="112" spans="1:10">
      <c r="A112" s="21">
        <v>3.665</v>
      </c>
      <c r="B112" s="21">
        <v>155.9</v>
      </c>
      <c r="C112" s="21">
        <v>-564.1</v>
      </c>
      <c r="H112">
        <f t="shared" si="5"/>
        <v>4.165</v>
      </c>
      <c r="I112">
        <f t="shared" si="6"/>
        <v>-634.29999999999995</v>
      </c>
      <c r="J112">
        <f t="shared" si="7"/>
        <v>-3.5699916518065438</v>
      </c>
    </row>
    <row r="113" spans="1:10">
      <c r="A113" s="21">
        <v>3.698</v>
      </c>
      <c r="B113" s="21">
        <v>150.6</v>
      </c>
      <c r="C113" s="21">
        <v>-569.4</v>
      </c>
      <c r="H113">
        <f t="shared" si="5"/>
        <v>4.1980000000000004</v>
      </c>
      <c r="I113">
        <f t="shared" si="6"/>
        <v>-640.9</v>
      </c>
      <c r="J113">
        <f t="shared" si="7"/>
        <v>-3.6209069556300415</v>
      </c>
    </row>
    <row r="114" spans="1:10">
      <c r="A114" s="21">
        <v>3.7320000000000002</v>
      </c>
      <c r="B114" s="21">
        <v>148.19999999999999</v>
      </c>
      <c r="C114" s="21">
        <v>-571.79999999999995</v>
      </c>
      <c r="H114">
        <f t="shared" si="5"/>
        <v>4.2320000000000002</v>
      </c>
      <c r="I114">
        <f t="shared" si="6"/>
        <v>-648.20000000000005</v>
      </c>
      <c r="J114">
        <f t="shared" si="7"/>
        <v>-3.5688075749735302</v>
      </c>
    </row>
    <row r="115" spans="1:10">
      <c r="A115" s="21">
        <v>3.7650000000000001</v>
      </c>
      <c r="B115" s="21">
        <v>143.9</v>
      </c>
      <c r="C115" s="21">
        <v>-576.1</v>
      </c>
      <c r="H115">
        <f t="shared" si="5"/>
        <v>4.2649999999999997</v>
      </c>
      <c r="I115">
        <f t="shared" si="6"/>
        <v>-654.6</v>
      </c>
      <c r="J115">
        <f t="shared" si="7"/>
        <v>-3.9402130082902325</v>
      </c>
    </row>
    <row r="116" spans="1:10">
      <c r="A116" s="21">
        <v>3.798</v>
      </c>
      <c r="B116" s="21">
        <v>140.5</v>
      </c>
      <c r="C116" s="21">
        <v>-579.5</v>
      </c>
      <c r="H116">
        <f t="shared" si="5"/>
        <v>4.298</v>
      </c>
      <c r="I116">
        <f t="shared" si="6"/>
        <v>-663.1</v>
      </c>
      <c r="J116">
        <f t="shared" si="7"/>
        <v>-3.7022135648364158</v>
      </c>
    </row>
    <row r="117" spans="1:10">
      <c r="A117" s="21">
        <v>3.8319999999999999</v>
      </c>
      <c r="B117" s="21">
        <v>133.69999999999999</v>
      </c>
      <c r="C117" s="21">
        <v>-586.29999999999995</v>
      </c>
      <c r="H117">
        <f t="shared" si="5"/>
        <v>4.3310000000000004</v>
      </c>
      <c r="I117">
        <f t="shared" si="6"/>
        <v>-668.6</v>
      </c>
      <c r="J117">
        <f t="shared" si="7"/>
        <v>-3.0738634587362621</v>
      </c>
    </row>
    <row r="118" spans="1:10">
      <c r="A118" s="21">
        <v>3.8650000000000002</v>
      </c>
      <c r="B118" s="21">
        <v>131</v>
      </c>
      <c r="C118" s="21">
        <v>-589</v>
      </c>
      <c r="H118">
        <f t="shared" si="5"/>
        <v>4.3650000000000002</v>
      </c>
      <c r="I118">
        <f t="shared" si="6"/>
        <v>-674.9</v>
      </c>
      <c r="J118">
        <f t="shared" si="7"/>
        <v>-3.2562112910342318</v>
      </c>
    </row>
    <row r="119" spans="1:10">
      <c r="A119" s="21">
        <v>3.8980000000000001</v>
      </c>
      <c r="B119" s="21">
        <v>126.9</v>
      </c>
      <c r="C119" s="21">
        <v>-593.1</v>
      </c>
      <c r="H119">
        <f t="shared" si="5"/>
        <v>4.3979999999999997</v>
      </c>
      <c r="I119">
        <f t="shared" si="6"/>
        <v>-681.1</v>
      </c>
      <c r="J119">
        <f t="shared" si="7"/>
        <v>-3.7551023300484272</v>
      </c>
    </row>
    <row r="120" spans="1:10">
      <c r="A120" s="21">
        <v>3.9319999999999999</v>
      </c>
      <c r="B120" s="21">
        <v>122.3</v>
      </c>
      <c r="C120" s="21">
        <v>-597.70000000000005</v>
      </c>
      <c r="H120">
        <f t="shared" si="5"/>
        <v>4.431</v>
      </c>
      <c r="I120">
        <f t="shared" si="6"/>
        <v>-689.1</v>
      </c>
      <c r="J120">
        <f t="shared" si="7"/>
        <v>-4.2981989041651296</v>
      </c>
    </row>
    <row r="121" spans="1:10">
      <c r="A121" s="21">
        <v>3.9649999999999999</v>
      </c>
      <c r="B121" s="21">
        <v>116.6</v>
      </c>
      <c r="C121" s="21">
        <v>-603.4</v>
      </c>
      <c r="H121">
        <f t="shared" si="5"/>
        <v>4.4649999999999999</v>
      </c>
      <c r="I121">
        <f t="shared" si="6"/>
        <v>-697.6</v>
      </c>
      <c r="J121">
        <f t="shared" si="7"/>
        <v>-3.9335032395693057</v>
      </c>
    </row>
    <row r="122" spans="1:10">
      <c r="A122" s="21">
        <v>3.9980000000000002</v>
      </c>
      <c r="B122" s="21">
        <v>113.6</v>
      </c>
      <c r="C122" s="21">
        <v>-606.4</v>
      </c>
      <c r="H122">
        <f t="shared" si="5"/>
        <v>4.4980000000000002</v>
      </c>
      <c r="I122">
        <f t="shared" si="6"/>
        <v>-704.2</v>
      </c>
      <c r="J122">
        <f t="shared" si="7"/>
        <v>-3.4113253561707371</v>
      </c>
    </row>
    <row r="123" spans="1:10">
      <c r="A123" s="21">
        <v>4.032</v>
      </c>
      <c r="B123" s="21">
        <v>109</v>
      </c>
      <c r="C123" s="21">
        <v>-611</v>
      </c>
      <c r="H123">
        <f t="shared" si="5"/>
        <v>4.5309999999999997</v>
      </c>
      <c r="I123">
        <f t="shared" si="6"/>
        <v>-710.5</v>
      </c>
      <c r="J123">
        <f t="shared" si="7"/>
        <v>-2.7324607809124206</v>
      </c>
    </row>
    <row r="124" spans="1:10">
      <c r="A124" s="21">
        <v>4.0650000000000004</v>
      </c>
      <c r="B124" s="21">
        <v>103.6</v>
      </c>
      <c r="C124" s="21">
        <v>-616.4</v>
      </c>
      <c r="H124">
        <f t="shared" si="5"/>
        <v>0</v>
      </c>
      <c r="I124">
        <f>C139</f>
        <v>0</v>
      </c>
    </row>
    <row r="125" spans="1:10">
      <c r="A125" s="21">
        <v>4.0979999999999999</v>
      </c>
      <c r="B125" s="21">
        <v>98.3</v>
      </c>
      <c r="C125" s="21">
        <v>-621.70000000000005</v>
      </c>
      <c r="H125">
        <f t="shared" si="5"/>
        <v>0</v>
      </c>
      <c r="I125">
        <f t="shared" si="6"/>
        <v>0</v>
      </c>
    </row>
    <row r="126" spans="1:10">
      <c r="A126" s="21">
        <v>4.1319999999999997</v>
      </c>
      <c r="B126" s="21">
        <v>92.6</v>
      </c>
      <c r="C126" s="21">
        <v>-627.4</v>
      </c>
      <c r="H126">
        <f t="shared" si="5"/>
        <v>0</v>
      </c>
      <c r="I126">
        <f t="shared" si="6"/>
        <v>0</v>
      </c>
    </row>
    <row r="127" spans="1:10">
      <c r="A127" s="21">
        <v>4.165</v>
      </c>
      <c r="B127" s="21">
        <v>85.7</v>
      </c>
      <c r="C127" s="21">
        <v>-634.29999999999995</v>
      </c>
      <c r="H127">
        <f t="shared" si="5"/>
        <v>0</v>
      </c>
      <c r="I127">
        <f t="shared" si="6"/>
        <v>0</v>
      </c>
    </row>
    <row r="128" spans="1:10">
      <c r="A128" s="21">
        <v>4.1980000000000004</v>
      </c>
      <c r="B128" s="21">
        <v>79.099999999999994</v>
      </c>
      <c r="C128" s="21">
        <v>-640.9</v>
      </c>
      <c r="H128">
        <f t="shared" si="5"/>
        <v>0</v>
      </c>
      <c r="I128">
        <f t="shared" si="6"/>
        <v>0</v>
      </c>
    </row>
    <row r="129" spans="1:9">
      <c r="A129" s="21">
        <v>4.2320000000000002</v>
      </c>
      <c r="B129" s="21">
        <v>71.8</v>
      </c>
      <c r="C129" s="21">
        <v>-648.20000000000005</v>
      </c>
      <c r="H129">
        <f t="shared" si="5"/>
        <v>0</v>
      </c>
      <c r="I129">
        <f t="shared" si="6"/>
        <v>0</v>
      </c>
    </row>
    <row r="130" spans="1:9">
      <c r="A130" s="21">
        <v>4.2649999999999997</v>
      </c>
      <c r="B130" s="21">
        <v>65.400000000000006</v>
      </c>
      <c r="C130" s="21">
        <v>-654.6</v>
      </c>
      <c r="H130">
        <f t="shared" si="5"/>
        <v>0</v>
      </c>
      <c r="I130">
        <f t="shared" si="6"/>
        <v>0</v>
      </c>
    </row>
    <row r="131" spans="1:9">
      <c r="A131" s="21">
        <v>4.298</v>
      </c>
      <c r="B131" s="21">
        <v>56.9</v>
      </c>
      <c r="C131" s="21">
        <v>-663.1</v>
      </c>
      <c r="H131">
        <f t="shared" ref="H131:H138" si="8">A146</f>
        <v>0</v>
      </c>
      <c r="I131">
        <f t="shared" ref="I131:I138" si="9">C146</f>
        <v>0</v>
      </c>
    </row>
    <row r="132" spans="1:9">
      <c r="A132" s="21">
        <v>4.3310000000000004</v>
      </c>
      <c r="B132" s="21">
        <v>51.4</v>
      </c>
      <c r="C132" s="21">
        <v>-668.6</v>
      </c>
      <c r="H132">
        <f t="shared" si="8"/>
        <v>0</v>
      </c>
      <c r="I132">
        <f t="shared" si="9"/>
        <v>0</v>
      </c>
    </row>
    <row r="133" spans="1:9">
      <c r="A133" s="21">
        <v>4.3650000000000002</v>
      </c>
      <c r="B133" s="21">
        <v>45.1</v>
      </c>
      <c r="C133" s="21">
        <v>-674.9</v>
      </c>
      <c r="H133">
        <f t="shared" si="8"/>
        <v>0</v>
      </c>
      <c r="I133">
        <f t="shared" si="9"/>
        <v>0</v>
      </c>
    </row>
    <row r="134" spans="1:9">
      <c r="A134" s="21">
        <v>4.3979999999999997</v>
      </c>
      <c r="B134" s="21">
        <v>38.9</v>
      </c>
      <c r="C134" s="21">
        <v>-681.1</v>
      </c>
      <c r="H134">
        <f t="shared" si="8"/>
        <v>0</v>
      </c>
      <c r="I134">
        <f t="shared" si="9"/>
        <v>0</v>
      </c>
    </row>
    <row r="135" spans="1:9">
      <c r="A135" s="21">
        <v>4.431</v>
      </c>
      <c r="B135" s="21">
        <v>30.9</v>
      </c>
      <c r="C135" s="21">
        <v>-689.1</v>
      </c>
      <c r="H135">
        <f t="shared" si="8"/>
        <v>0</v>
      </c>
      <c r="I135">
        <f t="shared" si="9"/>
        <v>0</v>
      </c>
    </row>
    <row r="136" spans="1:9">
      <c r="A136" s="21">
        <v>4.4649999999999999</v>
      </c>
      <c r="B136" s="21">
        <v>22.4</v>
      </c>
      <c r="C136" s="21">
        <v>-697.6</v>
      </c>
      <c r="H136">
        <f t="shared" si="8"/>
        <v>0</v>
      </c>
      <c r="I136">
        <f t="shared" si="9"/>
        <v>0</v>
      </c>
    </row>
    <row r="137" spans="1:9">
      <c r="A137" s="21">
        <v>4.4980000000000002</v>
      </c>
      <c r="B137" s="21">
        <v>15.8</v>
      </c>
      <c r="C137" s="21">
        <v>-704.2</v>
      </c>
      <c r="H137">
        <f t="shared" si="8"/>
        <v>0</v>
      </c>
      <c r="I137">
        <f t="shared" si="9"/>
        <v>0</v>
      </c>
    </row>
    <row r="138" spans="1:9">
      <c r="A138" s="21">
        <v>4.5309999999999997</v>
      </c>
      <c r="B138" s="21">
        <v>9.5</v>
      </c>
      <c r="C138" s="21">
        <v>-710.5</v>
      </c>
      <c r="H138">
        <f t="shared" si="8"/>
        <v>0</v>
      </c>
      <c r="I138">
        <f t="shared" si="9"/>
        <v>0</v>
      </c>
    </row>
  </sheetData>
  <mergeCells count="2">
    <mergeCell ref="S1:W1"/>
    <mergeCell ref="Y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sqref="A1:F1"/>
    </sheetView>
  </sheetViews>
  <sheetFormatPr defaultRowHeight="14.25"/>
  <cols>
    <col min="1" max="1" width="32" customWidth="1"/>
    <col min="2" max="2" width="16" customWidth="1"/>
    <col min="3" max="3" width="4" customWidth="1"/>
    <col min="4" max="4" width="16" customWidth="1"/>
    <col min="5" max="7" width="14" customWidth="1"/>
    <col min="8" max="8" width="16" customWidth="1"/>
  </cols>
  <sheetData>
    <row r="1" spans="1:8" ht="14.5">
      <c r="A1" s="24" t="s">
        <v>0</v>
      </c>
      <c r="B1" s="24"/>
      <c r="C1" s="24"/>
      <c r="D1" s="24"/>
      <c r="E1" s="24"/>
      <c r="F1" s="24"/>
    </row>
    <row r="3" spans="1:8" ht="14.5">
      <c r="A3" s="1" t="s">
        <v>1</v>
      </c>
      <c r="B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4.5">
      <c r="A4" s="2" t="s">
        <v>8</v>
      </c>
      <c r="B4" s="3">
        <v>0.05</v>
      </c>
      <c r="D4" s="4" t="s">
        <v>9</v>
      </c>
      <c r="E4" s="5">
        <v>0.1</v>
      </c>
      <c r="F4" s="5">
        <f>E4*$B$13</f>
        <v>2.8349500000000001E-3</v>
      </c>
      <c r="G4" s="5">
        <f>F4*$B$12</f>
        <v>2.7810859500000003E-2</v>
      </c>
      <c r="H4" s="5">
        <f>(1/12)*F4*$B$4^2</f>
        <v>5.9061458333333348E-7</v>
      </c>
    </row>
    <row r="5" spans="1:8" ht="14.5">
      <c r="A5" s="2" t="s">
        <v>10</v>
      </c>
      <c r="B5" s="3">
        <v>0.1</v>
      </c>
      <c r="D5" s="4" t="s">
        <v>11</v>
      </c>
      <c r="E5" s="5">
        <v>0.15</v>
      </c>
      <c r="F5" s="5">
        <f>E5*$B$13</f>
        <v>4.2524249999999998E-3</v>
      </c>
      <c r="G5" s="5">
        <f>F5*$B$12</f>
        <v>4.1716289249999997E-2</v>
      </c>
      <c r="H5" s="5">
        <f>(1/12)*F5*$B$5^2</f>
        <v>3.5436875000000005E-6</v>
      </c>
    </row>
    <row r="6" spans="1:8" ht="14.5">
      <c r="A6" s="2" t="s">
        <v>12</v>
      </c>
      <c r="B6" s="3">
        <v>0.1</v>
      </c>
      <c r="D6" s="4" t="s">
        <v>13</v>
      </c>
      <c r="E6" s="5">
        <v>0.4</v>
      </c>
      <c r="F6" s="5">
        <f>E6*$B$13</f>
        <v>1.1339800000000001E-2</v>
      </c>
      <c r="G6" s="5">
        <f>F6*$B$12</f>
        <v>0.11124343800000001</v>
      </c>
      <c r="H6" s="5">
        <f>0.000057823</f>
        <v>5.7822999999999998E-5</v>
      </c>
    </row>
    <row r="7" spans="1:8" ht="14.5">
      <c r="A7" s="2" t="s">
        <v>14</v>
      </c>
      <c r="B7" s="3">
        <v>0.115</v>
      </c>
    </row>
    <row r="8" spans="1:8" ht="14.5">
      <c r="A8" s="2" t="s">
        <v>15</v>
      </c>
      <c r="B8" s="3">
        <v>9.3600000000000003E-2</v>
      </c>
    </row>
    <row r="9" spans="1:8" ht="14.5">
      <c r="A9" s="2" t="s">
        <v>16</v>
      </c>
      <c r="B9" s="3">
        <v>8.4989999999999996E-2</v>
      </c>
    </row>
    <row r="10" spans="1:8" ht="14.5">
      <c r="A10" s="2" t="s">
        <v>17</v>
      </c>
      <c r="B10" s="3">
        <v>-2.7019470000000001</v>
      </c>
    </row>
    <row r="11" spans="1:8" ht="14.5">
      <c r="A11" s="2" t="s">
        <v>18</v>
      </c>
      <c r="B11" s="3">
        <v>0</v>
      </c>
    </row>
    <row r="12" spans="1:8" ht="14.5">
      <c r="A12" s="2" t="s">
        <v>19</v>
      </c>
      <c r="B12" s="3">
        <v>9.81</v>
      </c>
    </row>
    <row r="13" spans="1:8" ht="14.5">
      <c r="A13" s="2" t="s">
        <v>20</v>
      </c>
      <c r="B13" s="3">
        <v>2.83495E-2</v>
      </c>
    </row>
    <row r="16" spans="1:8">
      <c r="A16" s="6" t="s">
        <v>21</v>
      </c>
      <c r="B16" s="6"/>
      <c r="C16" s="6"/>
      <c r="D16" s="6"/>
      <c r="E16" s="6"/>
      <c r="F16" s="6"/>
    </row>
    <row r="17" spans="1:6" ht="28.5">
      <c r="A17" s="6" t="s">
        <v>22</v>
      </c>
      <c r="B17" s="6"/>
      <c r="C17" s="6"/>
      <c r="D17" s="6"/>
      <c r="E17" s="6"/>
      <c r="F17" s="6"/>
    </row>
    <row r="18" spans="1:6">
      <c r="A18" s="6" t="s">
        <v>23</v>
      </c>
      <c r="B18" s="6"/>
      <c r="C18" s="6"/>
      <c r="D18" s="6"/>
      <c r="E18" s="6"/>
      <c r="F18" s="6"/>
    </row>
    <row r="19" spans="1:6">
      <c r="A19" s="6" t="s">
        <v>24</v>
      </c>
      <c r="B19" s="6"/>
      <c r="C19" s="6"/>
      <c r="D19" s="6"/>
      <c r="E19" s="6"/>
      <c r="F19" s="6"/>
    </row>
    <row r="20" spans="1:6">
      <c r="A20" s="6" t="s">
        <v>25</v>
      </c>
      <c r="B20" s="6"/>
      <c r="C20" s="6"/>
      <c r="D20" s="6"/>
      <c r="E20" s="6"/>
      <c r="F20" s="6"/>
    </row>
    <row r="21" spans="1:6" ht="28.5">
      <c r="A21" s="6" t="s">
        <v>26</v>
      </c>
      <c r="B21" s="6"/>
      <c r="C21" s="6"/>
      <c r="D21" s="6"/>
      <c r="E21" s="6"/>
      <c r="F21" s="6"/>
    </row>
    <row r="22" spans="1:6" ht="42.75">
      <c r="A22" s="6" t="s">
        <v>27</v>
      </c>
      <c r="B22" s="6"/>
      <c r="C22" s="6"/>
      <c r="D22" s="6"/>
      <c r="E22" s="6"/>
      <c r="F22" s="6"/>
    </row>
    <row r="23" spans="1:6" ht="42.75">
      <c r="A23" s="6" t="s">
        <v>28</v>
      </c>
      <c r="B23" s="6"/>
      <c r="C23" s="6"/>
      <c r="D23" s="6"/>
      <c r="E23" s="6"/>
      <c r="F23" s="6"/>
    </row>
    <row r="24" spans="1:6" ht="28.5">
      <c r="A24" s="6" t="s">
        <v>29</v>
      </c>
      <c r="B24" s="6"/>
      <c r="C24" s="6"/>
      <c r="D24" s="6"/>
      <c r="E24" s="6"/>
      <c r="F24" s="6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8"/>
  <sheetViews>
    <sheetView workbookViewId="0">
      <selection activeCell="E3" sqref="E3"/>
    </sheetView>
  </sheetViews>
  <sheetFormatPr defaultRowHeight="14.25"/>
  <cols>
    <col min="1" max="57" width="12" customWidth="1"/>
  </cols>
  <sheetData>
    <row r="1" spans="1:57" ht="14.5">
      <c r="A1" s="24" t="s">
        <v>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</row>
    <row r="2" spans="1:57" ht="14.5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  <c r="J2" s="7" t="s">
        <v>40</v>
      </c>
      <c r="K2" s="7" t="s">
        <v>41</v>
      </c>
      <c r="L2" s="7" t="s">
        <v>42</v>
      </c>
      <c r="M2" s="7" t="s">
        <v>43</v>
      </c>
      <c r="N2" s="7" t="s">
        <v>44</v>
      </c>
      <c r="O2" s="7" t="s">
        <v>45</v>
      </c>
      <c r="P2" s="7" t="s">
        <v>46</v>
      </c>
      <c r="Q2" s="7" t="s">
        <v>47</v>
      </c>
      <c r="R2" s="7" t="s">
        <v>48</v>
      </c>
      <c r="S2" s="7" t="s">
        <v>49</v>
      </c>
      <c r="T2" s="7" t="s">
        <v>50</v>
      </c>
      <c r="U2" s="7" t="s">
        <v>51</v>
      </c>
      <c r="V2" s="7" t="s">
        <v>52</v>
      </c>
      <c r="W2" s="7" t="s">
        <v>53</v>
      </c>
      <c r="X2" s="7" t="s">
        <v>54</v>
      </c>
      <c r="Y2" s="7" t="s">
        <v>55</v>
      </c>
      <c r="Z2" s="7" t="s">
        <v>56</v>
      </c>
      <c r="AA2" s="7" t="s">
        <v>57</v>
      </c>
      <c r="AB2" s="7" t="s">
        <v>58</v>
      </c>
      <c r="AC2" s="7" t="s">
        <v>59</v>
      </c>
      <c r="AD2" s="7" t="s">
        <v>60</v>
      </c>
      <c r="AE2" s="7" t="s">
        <v>61</v>
      </c>
      <c r="AF2" s="7" t="s">
        <v>62</v>
      </c>
      <c r="AG2" s="7" t="s">
        <v>63</v>
      </c>
      <c r="AH2" s="7" t="s">
        <v>64</v>
      </c>
      <c r="AI2" s="7" t="s">
        <v>65</v>
      </c>
      <c r="AJ2" s="7" t="s">
        <v>66</v>
      </c>
      <c r="AK2" s="7" t="s">
        <v>67</v>
      </c>
      <c r="AL2" s="7" t="s">
        <v>68</v>
      </c>
      <c r="AM2" s="7" t="s">
        <v>69</v>
      </c>
      <c r="AN2" s="7" t="s">
        <v>70</v>
      </c>
      <c r="AO2" s="7" t="s">
        <v>71</v>
      </c>
      <c r="AP2" s="7" t="s">
        <v>72</v>
      </c>
      <c r="AQ2" s="7" t="s">
        <v>73</v>
      </c>
      <c r="AR2" s="7" t="s">
        <v>74</v>
      </c>
      <c r="AS2" s="7" t="s">
        <v>75</v>
      </c>
      <c r="AT2" s="7" t="s">
        <v>76</v>
      </c>
      <c r="AU2" s="7" t="s">
        <v>77</v>
      </c>
      <c r="AV2" s="7" t="s">
        <v>78</v>
      </c>
      <c r="AW2" s="7" t="s">
        <v>79</v>
      </c>
      <c r="AX2" s="7" t="s">
        <v>80</v>
      </c>
      <c r="AY2" s="7" t="s">
        <v>81</v>
      </c>
      <c r="AZ2" s="7" t="s">
        <v>82</v>
      </c>
      <c r="BA2" s="7" t="s">
        <v>83</v>
      </c>
      <c r="BB2" s="7" t="s">
        <v>84</v>
      </c>
      <c r="BC2" s="7" t="s">
        <v>85</v>
      </c>
      <c r="BD2" s="7" t="s">
        <v>86</v>
      </c>
      <c r="BE2" s="7" t="s">
        <v>87</v>
      </c>
    </row>
    <row r="3" spans="1:57">
      <c r="A3" s="10">
        <v>0.9</v>
      </c>
      <c r="B3" s="9">
        <v>-145.30000000000001</v>
      </c>
      <c r="C3" s="8">
        <f t="shared" ref="C3:C8" si="0">RADIANS(B3)</f>
        <v>-2.5359634031477611</v>
      </c>
      <c r="D3" s="8">
        <f>Supuestos!$B$10</f>
        <v>-2.7019470000000001</v>
      </c>
      <c r="E3" s="8">
        <f>Supuestos!$B$11</f>
        <v>0</v>
      </c>
      <c r="F3" s="8">
        <f>Supuestos!$B$4*COS(C3)</f>
        <v>-4.1107202051536881E-2</v>
      </c>
      <c r="G3" s="8">
        <f>Supuestos!$B$4*SIN(C3)</f>
        <v>-2.8463976171542199E-2</v>
      </c>
      <c r="H3" s="8">
        <f>SQRT((Supuestos!$B$8-F3)^2+(Supuestos!$B$9-G3)^2)</f>
        <v>0.17611880931259571</v>
      </c>
      <c r="I3" s="8">
        <f>(F3+Supuestos!$B$8)/2</f>
        <v>2.6246398974231561E-2</v>
      </c>
      <c r="J3" s="8">
        <f>(G3+Supuestos!$B$9)/2</f>
        <v>2.8263011914228899E-2</v>
      </c>
      <c r="K3" s="8">
        <f>SQRT(Supuestos!$B$5^2-(H3/2)^2)</f>
        <v>4.738714226009403E-2</v>
      </c>
      <c r="L3" s="8">
        <f>I3-K3*(Supuestos!$B$9-G3)/H3</f>
        <v>-4.2799243060478928E-3</v>
      </c>
      <c r="M3" s="8">
        <f>J3+K3*(Supuestos!$B$8-F3)/H3</f>
        <v>6.4507802416675697E-2</v>
      </c>
      <c r="N3" s="8">
        <f t="shared" ref="N3:O8" si="1">L3-F3</f>
        <v>3.6827277745488989E-2</v>
      </c>
      <c r="O3" s="8">
        <f t="shared" si="1"/>
        <v>9.2971778588217896E-2</v>
      </c>
      <c r="P3" s="8">
        <f>L3-Supuestos!$B$8</f>
        <v>-9.7879924306047889E-2</v>
      </c>
      <c r="Q3" s="8">
        <f>M3-Supuestos!$B$9</f>
        <v>-2.0482197583324299E-2</v>
      </c>
      <c r="R3" s="8">
        <f>-(Supuestos!$B$7/Supuestos!$B$6)*P3</f>
        <v>0.11256191295195506</v>
      </c>
      <c r="S3" s="8">
        <f>-(Supuestos!$B$7/Supuestos!$B$6)*Q3</f>
        <v>2.3554527220822942E-2</v>
      </c>
      <c r="T3" s="8">
        <f t="shared" ref="T3:T8" si="2">D3*(-G3)</f>
        <v>-7.6908155024769928E-2</v>
      </c>
      <c r="U3" s="8">
        <f t="shared" ref="U3:U8" si="3">D3*F3</f>
        <v>0.11106948126154392</v>
      </c>
      <c r="V3" s="8">
        <f t="shared" ref="V3:V8" si="4">SQRT(T3^2+U3^2)</f>
        <v>0.13509735</v>
      </c>
      <c r="W3" s="8">
        <f t="shared" ref="W3:W8" si="5">E3*(-G3)-D3^2*F3</f>
        <v>0.30010385168618481</v>
      </c>
      <c r="X3" s="8">
        <f t="shared" ref="X3:X8" si="6">E3*F3-D3^2*G3</f>
        <v>0.20780175874471205</v>
      </c>
      <c r="Y3" s="8">
        <f t="shared" ref="Y3:Y8" si="7">SQRT(W3^2+X3^2)</f>
        <v>0.36502587954045002</v>
      </c>
      <c r="Z3" s="8">
        <f t="shared" ref="Z3:Z8" si="8">((-T3)*(-P3)-Q3*(-U3))/((-O3)*(-P3)-Q3*N3)</f>
        <v>-0.62939898593109278</v>
      </c>
      <c r="AA3" s="8">
        <f t="shared" ref="AA3:AA8" si="9">((-O3)*(-U3)-(-T3)*N3)/((-O3)*(-P3)-Q3*N3)</f>
        <v>-0.89794133594870185</v>
      </c>
      <c r="AB3" s="8">
        <f t="shared" ref="AB3:AB8" si="10">((-W3+Z3^2*N3-AA3^2*P3)*(-P3)-Q3*(-X3+Z3^2*O3-AA3^2*Q3))/((-O3)*(-P3)-Q3*N3)</f>
        <v>2.8020279951818066</v>
      </c>
      <c r="AC3" s="8">
        <f t="shared" ref="AC3:AC8" si="11">((-O3)*(-X3+Z3^2*O3-AA3^2*Q3)-(-W3+Z3^2*N3-AA3^2*P3)*N3)/((-O3)*(-P3)-Q3*N3)</f>
        <v>-2.6322857178312695</v>
      </c>
      <c r="AD3" s="8">
        <f t="shared" ref="AD3:AD8" si="12">AA3*(-Q3)</f>
        <v>-1.8391811861135494E-2</v>
      </c>
      <c r="AE3" s="8">
        <f t="shared" ref="AE3:AE8" si="13">AA3*P3</f>
        <v>8.7890429993930458E-2</v>
      </c>
      <c r="AF3" s="8">
        <f t="shared" ref="AF3:AF8" si="14">SQRT(AD3^2+AE3^2)</f>
        <v>8.9794133594870179E-2</v>
      </c>
      <c r="AG3" s="8">
        <f t="shared" ref="AG3:AG8" si="15">AC3*(-Q3)-AA3^2*P3</f>
        <v>2.5005453957473077E-2</v>
      </c>
      <c r="AH3" s="8">
        <f t="shared" ref="AH3:AH8" si="16">AC3*P3-AA3^2*Q3</f>
        <v>0.27416269492632078</v>
      </c>
      <c r="AI3" s="8">
        <f t="shared" ref="AI3:AI8" si="17">SQRT(AG3^2+AH3^2)</f>
        <v>0.27530066475924486</v>
      </c>
      <c r="AJ3" s="8">
        <f t="shared" ref="AJ3:AJ8" si="18">AA3*(-S3)</f>
        <v>2.1150583640305816E-2</v>
      </c>
      <c r="AK3" s="8">
        <f t="shared" ref="AK3:AK8" si="19">AA3*R3</f>
        <v>-0.10107399449302001</v>
      </c>
      <c r="AL3" s="8">
        <f t="shared" ref="AL3:AL8" si="20">SQRT(AJ3^2+AK3^2)</f>
        <v>0.1032632536341007</v>
      </c>
      <c r="AM3" s="8">
        <f t="shared" ref="AM3:AM8" si="21">AC3*(-S3)-AA3^2*R3</f>
        <v>-2.8756272051094031E-2</v>
      </c>
      <c r="AN3" s="8">
        <f t="shared" ref="AN3:AN8" si="22">AC3*R3-AA3^2*S3</f>
        <v>-0.31528709916526887</v>
      </c>
      <c r="AO3" s="8">
        <f t="shared" ref="AO3:AO8" si="23">SQRT(AM3^2+AN3^2)</f>
        <v>0.31659576447313159</v>
      </c>
      <c r="AP3" s="8">
        <f t="shared" ref="AP3:AQ8" si="24">F3/2</f>
        <v>-2.0553601025768441E-2</v>
      </c>
      <c r="AQ3" s="8">
        <f t="shared" si="24"/>
        <v>-1.42319880857711E-2</v>
      </c>
      <c r="AR3" s="8">
        <f t="shared" ref="AR3:AR8" si="25">E3*(-AQ3)-D3^2*AP3</f>
        <v>0.1500519258430924</v>
      </c>
      <c r="AS3" s="8">
        <f t="shared" ref="AS3:AS8" si="26">E3*AP3-D3^2*AQ3</f>
        <v>0.10390087937235602</v>
      </c>
      <c r="AT3" s="8">
        <f t="shared" ref="AT3:AU8" si="27">0.5*N3</f>
        <v>1.8413638872744494E-2</v>
      </c>
      <c r="AU3" s="8">
        <f t="shared" si="27"/>
        <v>4.6485889294108948E-2</v>
      </c>
      <c r="AV3" s="8">
        <f t="shared" ref="AV3:AV8" si="28">W3+AB3*(-AU3)-Z3^2*AT3</f>
        <v>0.16255465282182896</v>
      </c>
      <c r="AW3" s="8">
        <f t="shared" ref="AW3:AW8" si="29">X3+AB3*AT3-Z3^2*AU3</f>
        <v>0.2409822268355164</v>
      </c>
      <c r="AX3" s="8">
        <f t="shared" ref="AX3:AY8" si="30">-0.2128*P3</f>
        <v>2.0828847892326991E-2</v>
      </c>
      <c r="AY3" s="8">
        <f t="shared" si="30"/>
        <v>4.3586116457314103E-3</v>
      </c>
      <c r="AZ3" s="8">
        <f t="shared" ref="AZ3:AZ8" si="31">AC3*(-AY3)-AA3^2*AX3</f>
        <v>-5.3211606021502707E-3</v>
      </c>
      <c r="BA3" s="8">
        <f t="shared" ref="BA3:BA8" si="32">AC3*AX3-AA3^2*AY3</f>
        <v>-5.8341821480321063E-2</v>
      </c>
      <c r="BB3" s="8">
        <f t="shared" ref="BB3:BB8" si="33">SQRT(N3^2+O3^2)</f>
        <v>0.1</v>
      </c>
      <c r="BC3" s="8">
        <f t="shared" ref="BC3:BC8" si="34">SQRT(P3^2+Q3^2)</f>
        <v>9.9999999999999992E-2</v>
      </c>
      <c r="BD3" s="8">
        <f t="shared" ref="BD3:BD8" si="35">DEGREES(ATAN2(N3,O3))</f>
        <v>68.390865630657345</v>
      </c>
      <c r="BE3" s="8">
        <f t="shared" ref="BE3:BE8" si="36">DEGREES(ATAN2(P3,Q3))</f>
        <v>-168.18092211546519</v>
      </c>
    </row>
    <row r="4" spans="1:57">
      <c r="A4" s="10">
        <v>1.266</v>
      </c>
      <c r="B4" s="9">
        <v>-185.3</v>
      </c>
      <c r="C4" s="8">
        <f t="shared" si="0"/>
        <v>-3.234095103945493</v>
      </c>
      <c r="D4" s="8">
        <f>Supuestos!$B$10</f>
        <v>-2.7019470000000001</v>
      </c>
      <c r="E4" s="8">
        <f>Supuestos!$B$11</f>
        <v>0</v>
      </c>
      <c r="F4" s="8">
        <f>Supuestos!$B$4*COS(C4)</f>
        <v>-4.9786234909229107E-2</v>
      </c>
      <c r="G4" s="8">
        <f>Supuestos!$B$4*SIN(C4)</f>
        <v>4.618529372328096E-3</v>
      </c>
      <c r="H4" s="8">
        <f>SQRT((Supuestos!$B$8-F4)^2+(Supuestos!$B$9-G4)^2)</f>
        <v>0.16437513696511211</v>
      </c>
      <c r="I4" s="8">
        <f>(F4+Supuestos!$B$8)/2</f>
        <v>2.1906882545385448E-2</v>
      </c>
      <c r="J4" s="8">
        <f>(G4+Supuestos!$B$9)/2</f>
        <v>4.4804264686164046E-2</v>
      </c>
      <c r="K4" s="8">
        <f>SQRT(Supuestos!$B$5^2-(H4/2)^2)</f>
        <v>5.6966688397037446E-2</v>
      </c>
      <c r="L4" s="8">
        <f>I4-K4*(Supuestos!$B$9-G4)/H4</f>
        <v>-5.9470654895293351E-3</v>
      </c>
      <c r="M4" s="8">
        <f>J4+K4*(Supuestos!$B$8-F4)/H4</f>
        <v>9.4496931809125218E-2</v>
      </c>
      <c r="N4" s="8">
        <f t="shared" si="1"/>
        <v>4.3839169419699772E-2</v>
      </c>
      <c r="O4" s="8">
        <f t="shared" si="1"/>
        <v>8.9878402436797122E-2</v>
      </c>
      <c r="P4" s="8">
        <f>L4-Supuestos!$B$8</f>
        <v>-9.9547065489529338E-2</v>
      </c>
      <c r="Q4" s="8">
        <f>M4-Supuestos!$B$9</f>
        <v>9.5069318091252214E-3</v>
      </c>
      <c r="R4" s="8">
        <f>-(Supuestos!$B$7/Supuestos!$B$6)*P4</f>
        <v>0.11447912531295873</v>
      </c>
      <c r="S4" s="8">
        <f>-(Supuestos!$B$7/Supuestos!$B$6)*Q4</f>
        <v>-1.0932971580494003E-2</v>
      </c>
      <c r="T4" s="8">
        <f t="shared" si="2"/>
        <v>1.2479021581973783E-2</v>
      </c>
      <c r="U4" s="8">
        <f t="shared" si="3"/>
        <v>0.13451976805428686</v>
      </c>
      <c r="V4" s="8">
        <f t="shared" si="4"/>
        <v>0.13509735000000003</v>
      </c>
      <c r="W4" s="8">
        <f t="shared" si="5"/>
        <v>0.36346528373497622</v>
      </c>
      <c r="X4" s="8">
        <f t="shared" si="6"/>
        <v>-3.3717654926349316E-2</v>
      </c>
      <c r="Y4" s="8">
        <f t="shared" si="7"/>
        <v>0.36502587954045002</v>
      </c>
      <c r="Z4" s="8">
        <f t="shared" si="8"/>
        <v>-3.9107909116498701E-3</v>
      </c>
      <c r="AA4" s="8">
        <f t="shared" si="9"/>
        <v>-1.3495960083632719</v>
      </c>
      <c r="AB4" s="8">
        <f t="shared" si="10"/>
        <v>1.9530635993068168</v>
      </c>
      <c r="AC4" s="8">
        <f t="shared" si="11"/>
        <v>-0.69532608472166602</v>
      </c>
      <c r="AD4" s="8">
        <f t="shared" si="12"/>
        <v>1.2830517221377218E-2</v>
      </c>
      <c r="AE4" s="8">
        <f t="shared" si="13"/>
        <v>0.13434832222894602</v>
      </c>
      <c r="AF4" s="8">
        <f t="shared" si="14"/>
        <v>0.13495960083632719</v>
      </c>
      <c r="AG4" s="8">
        <f t="shared" si="15"/>
        <v>0.18792637708304308</v>
      </c>
      <c r="AH4" s="8">
        <f t="shared" si="16"/>
        <v>5.1901656465158798E-2</v>
      </c>
      <c r="AI4" s="8">
        <f t="shared" si="17"/>
        <v>0.19496180432942617</v>
      </c>
      <c r="AJ4" s="8">
        <f t="shared" si="18"/>
        <v>-1.4755094804583799E-2</v>
      </c>
      <c r="AK4" s="8">
        <f t="shared" si="19"/>
        <v>-0.15450057056328789</v>
      </c>
      <c r="AL4" s="8">
        <f t="shared" si="20"/>
        <v>0.15520354096177624</v>
      </c>
      <c r="AM4" s="8">
        <f t="shared" si="21"/>
        <v>-0.21611533364549951</v>
      </c>
      <c r="AN4" s="8">
        <f t="shared" si="22"/>
        <v>-5.9686904934932616E-2</v>
      </c>
      <c r="AO4" s="8">
        <f t="shared" si="23"/>
        <v>0.22420607497884007</v>
      </c>
      <c r="AP4" s="8">
        <f t="shared" si="24"/>
        <v>-2.4893117454614554E-2</v>
      </c>
      <c r="AQ4" s="8">
        <f t="shared" si="24"/>
        <v>2.309264686164048E-3</v>
      </c>
      <c r="AR4" s="8">
        <f t="shared" si="25"/>
        <v>0.18173264186748811</v>
      </c>
      <c r="AS4" s="8">
        <f t="shared" si="26"/>
        <v>-1.6858827463174658E-2</v>
      </c>
      <c r="AT4" s="8">
        <f t="shared" si="27"/>
        <v>2.1919584709849886E-2</v>
      </c>
      <c r="AU4" s="8">
        <f t="shared" si="27"/>
        <v>4.4939201218398561E-2</v>
      </c>
      <c r="AV4" s="8">
        <f t="shared" si="28"/>
        <v>0.27569583040900963</v>
      </c>
      <c r="AW4" s="8">
        <f t="shared" si="29"/>
        <v>9.092000769404739E-3</v>
      </c>
      <c r="AX4" s="8">
        <f t="shared" si="30"/>
        <v>2.1183615536171842E-2</v>
      </c>
      <c r="AY4" s="8">
        <f t="shared" si="30"/>
        <v>-2.0230750889818471E-3</v>
      </c>
      <c r="AZ4" s="8">
        <f t="shared" si="31"/>
        <v>-3.999073304327156E-2</v>
      </c>
      <c r="BA4" s="8">
        <f t="shared" si="32"/>
        <v>-1.1044672495785791E-2</v>
      </c>
      <c r="BB4" s="8">
        <f t="shared" si="33"/>
        <v>9.9999999999999992E-2</v>
      </c>
      <c r="BC4" s="8">
        <f t="shared" si="34"/>
        <v>0.1</v>
      </c>
      <c r="BD4" s="8">
        <f t="shared" si="35"/>
        <v>63.998690148958836</v>
      </c>
      <c r="BE4" s="8">
        <f t="shared" si="36"/>
        <v>174.54469049602227</v>
      </c>
    </row>
    <row r="5" spans="1:57">
      <c r="A5" s="10">
        <v>1.633</v>
      </c>
      <c r="B5" s="9">
        <v>-226.8</v>
      </c>
      <c r="C5" s="8">
        <f t="shared" si="0"/>
        <v>-3.9584067435231396</v>
      </c>
      <c r="D5" s="8">
        <f>Supuestos!$B$10</f>
        <v>-2.7019470000000001</v>
      </c>
      <c r="E5" s="8">
        <f>Supuestos!$B$11</f>
        <v>0</v>
      </c>
      <c r="F5" s="8">
        <f>Supuestos!$B$4*COS(C5)</f>
        <v>-3.4227355296434434E-2</v>
      </c>
      <c r="G5" s="8">
        <f>Supuestos!$B$4*SIN(C5)</f>
        <v>3.644843137107058E-2</v>
      </c>
      <c r="H5" s="8">
        <f>SQRT((Supuestos!$B$8-F5)^2+(Supuestos!$B$9-G5)^2)</f>
        <v>0.13673374362986609</v>
      </c>
      <c r="I5" s="8">
        <f>(F5+Supuestos!$B$8)/2</f>
        <v>2.9686322351782785E-2</v>
      </c>
      <c r="J5" s="8">
        <f>(G5+Supuestos!$B$9)/2</f>
        <v>6.0719215685535288E-2</v>
      </c>
      <c r="K5" s="8">
        <f>SQRT(Supuestos!$B$5^2-(H5/2)^2)</f>
        <v>7.297924936747785E-2</v>
      </c>
      <c r="L5" s="8">
        <f>I5-K5*(Supuestos!$B$9-G5)/H5</f>
        <v>3.7781072498201812E-3</v>
      </c>
      <c r="M5" s="8">
        <f>J5+K5*(Supuestos!$B$8-F5)/H5</f>
        <v>0.1289448357154841</v>
      </c>
      <c r="N5" s="8">
        <f t="shared" si="1"/>
        <v>3.8005462546254615E-2</v>
      </c>
      <c r="O5" s="8">
        <f t="shared" si="1"/>
        <v>9.2496404344413516E-2</v>
      </c>
      <c r="P5" s="8">
        <f>L5-Supuestos!$B$8</f>
        <v>-8.9821892750179821E-2</v>
      </c>
      <c r="Q5" s="8">
        <f>M5-Supuestos!$B$9</f>
        <v>4.39548357154841E-2</v>
      </c>
      <c r="R5" s="8">
        <f>-(Supuestos!$B$7/Supuestos!$B$6)*P5</f>
        <v>0.10329517666270678</v>
      </c>
      <c r="S5" s="8">
        <f>-(Supuestos!$B$7/Supuestos!$B$6)*Q5</f>
        <v>-5.054806107280671E-2</v>
      </c>
      <c r="T5" s="8">
        <f t="shared" si="2"/>
        <v>9.8481729797770048E-2</v>
      </c>
      <c r="U5" s="8">
        <f t="shared" si="3"/>
        <v>9.2480499961135137E-2</v>
      </c>
      <c r="V5" s="8">
        <f t="shared" si="4"/>
        <v>0.13509735000000003</v>
      </c>
      <c r="W5" s="8">
        <f t="shared" si="5"/>
        <v>0.24987740942848918</v>
      </c>
      <c r="X5" s="8">
        <f t="shared" si="6"/>
        <v>-0.26609241438189535</v>
      </c>
      <c r="Y5" s="8">
        <f t="shared" si="7"/>
        <v>0.36502587954045002</v>
      </c>
      <c r="Z5" s="8">
        <f t="shared" si="8"/>
        <v>0.47910426660236194</v>
      </c>
      <c r="AA5" s="8">
        <f t="shared" si="9"/>
        <v>-1.2323173764451805</v>
      </c>
      <c r="AB5" s="8">
        <f t="shared" si="10"/>
        <v>1.9144825096830531</v>
      </c>
      <c r="AC5" s="8">
        <f t="shared" si="11"/>
        <v>1.6456260486333512</v>
      </c>
      <c r="AD5" s="8">
        <f t="shared" si="12"/>
        <v>5.4166307830984285E-2</v>
      </c>
      <c r="AE5" s="8">
        <f t="shared" si="13"/>
        <v>0.11068907922124198</v>
      </c>
      <c r="AF5" s="8">
        <f t="shared" si="14"/>
        <v>0.12323173764451807</v>
      </c>
      <c r="AG5" s="8">
        <f t="shared" si="15"/>
        <v>6.4070853090253455E-2</v>
      </c>
      <c r="AH5" s="8">
        <f t="shared" si="16"/>
        <v>-0.21456332880524764</v>
      </c>
      <c r="AI5" s="8">
        <f t="shared" si="17"/>
        <v>0.22392520243086006</v>
      </c>
      <c r="AJ5" s="8">
        <f t="shared" si="18"/>
        <v>-6.2291254005631923E-2</v>
      </c>
      <c r="AK5" s="8">
        <f t="shared" si="19"/>
        <v>-0.12729244110442825</v>
      </c>
      <c r="AL5" s="8">
        <f t="shared" si="20"/>
        <v>0.14171649829119576</v>
      </c>
      <c r="AM5" s="8">
        <f t="shared" si="21"/>
        <v>-7.3681481053791437E-2</v>
      </c>
      <c r="AN5" s="8">
        <f t="shared" si="22"/>
        <v>0.24674782812603477</v>
      </c>
      <c r="AO5" s="8">
        <f t="shared" si="23"/>
        <v>0.25751398279548904</v>
      </c>
      <c r="AP5" s="8">
        <f t="shared" si="24"/>
        <v>-1.7113677648217217E-2</v>
      </c>
      <c r="AQ5" s="8">
        <f t="shared" si="24"/>
        <v>1.822421568553529E-2</v>
      </c>
      <c r="AR5" s="8">
        <f t="shared" si="25"/>
        <v>0.12493870471424459</v>
      </c>
      <c r="AS5" s="8">
        <f t="shared" si="26"/>
        <v>-0.13304620719094767</v>
      </c>
      <c r="AT5" s="8">
        <f t="shared" si="27"/>
        <v>1.9002731273127307E-2</v>
      </c>
      <c r="AU5" s="8">
        <f t="shared" si="27"/>
        <v>4.6248202172206758E-2</v>
      </c>
      <c r="AV5" s="8">
        <f t="shared" si="28"/>
        <v>0.15697413125937132</v>
      </c>
      <c r="AW5" s="8">
        <f t="shared" si="29"/>
        <v>-0.2403278715935715</v>
      </c>
      <c r="AX5" s="8">
        <f t="shared" si="30"/>
        <v>1.9114098777238266E-2</v>
      </c>
      <c r="AY5" s="8">
        <f t="shared" si="30"/>
        <v>-9.3535890402550153E-3</v>
      </c>
      <c r="AZ5" s="8">
        <f t="shared" si="31"/>
        <v>-1.3634277537605936E-2</v>
      </c>
      <c r="BA5" s="8">
        <f t="shared" si="32"/>
        <v>4.5659076369756704E-2</v>
      </c>
      <c r="BB5" s="8">
        <f t="shared" si="33"/>
        <v>0.1</v>
      </c>
      <c r="BC5" s="8">
        <f t="shared" si="34"/>
        <v>0.10000000000000002</v>
      </c>
      <c r="BD5" s="8">
        <f t="shared" si="35"/>
        <v>67.662933675003117</v>
      </c>
      <c r="BE5" s="8">
        <f t="shared" si="36"/>
        <v>153.92493189877632</v>
      </c>
    </row>
    <row r="6" spans="1:57">
      <c r="A6" s="10">
        <v>1.766</v>
      </c>
      <c r="B6" s="9">
        <v>-246.9</v>
      </c>
      <c r="C6" s="8">
        <f t="shared" si="0"/>
        <v>-4.3092179231739998</v>
      </c>
      <c r="D6" s="8">
        <f>Supuestos!$B$10</f>
        <v>-2.7019470000000001</v>
      </c>
      <c r="E6" s="8">
        <f>Supuestos!$B$11</f>
        <v>0</v>
      </c>
      <c r="F6" s="8">
        <f>Supuestos!$B$4*COS(C6)</f>
        <v>-1.9616855830178075E-2</v>
      </c>
      <c r="G6" s="8">
        <f>Supuestos!$B$4*SIN(C6)</f>
        <v>4.599107486608689E-2</v>
      </c>
      <c r="H6" s="8">
        <f>SQRT((Supuestos!$B$8-F6)^2+(Supuestos!$B$9-G6)^2)</f>
        <v>0.11974544920652261</v>
      </c>
      <c r="I6" s="8">
        <f>(F6+Supuestos!$B$8)/2</f>
        <v>3.6991572084910967E-2</v>
      </c>
      <c r="J6" s="8">
        <f>(G6+Supuestos!$B$9)/2</f>
        <v>6.549053743304345E-2</v>
      </c>
      <c r="K6" s="8">
        <f>SQRT(Supuestos!$B$5^2-(H6/2)^2)</f>
        <v>8.0095298542311649E-2</v>
      </c>
      <c r="L6" s="8">
        <f>I6-K6*(Supuestos!$B$9-G6)/H6</f>
        <v>1.0905983261883818E-2</v>
      </c>
      <c r="M6" s="8">
        <f>J6+K6*(Supuestos!$B$8-F6)/H6</f>
        <v>0.14121899248355924</v>
      </c>
      <c r="N6" s="8">
        <f t="shared" si="1"/>
        <v>3.0522839092061892E-2</v>
      </c>
      <c r="O6" s="8">
        <f t="shared" si="1"/>
        <v>9.5227917617472346E-2</v>
      </c>
      <c r="P6" s="8">
        <f>L6-Supuestos!$B$8</f>
        <v>-8.2694016738116188E-2</v>
      </c>
      <c r="Q6" s="8">
        <f>M6-Supuestos!$B$9</f>
        <v>5.622899248355924E-2</v>
      </c>
      <c r="R6" s="8">
        <f>-(Supuestos!$B$7/Supuestos!$B$6)*P6</f>
        <v>9.5098119248833615E-2</v>
      </c>
      <c r="S6" s="8">
        <f>-(Supuestos!$B$7/Supuestos!$B$6)*Q6</f>
        <v>-6.4663341356093126E-2</v>
      </c>
      <c r="T6" s="8">
        <f t="shared" si="2"/>
        <v>0.12426544676119888</v>
      </c>
      <c r="U6" s="8">
        <f t="shared" si="3"/>
        <v>5.300370475978216E-2</v>
      </c>
      <c r="V6" s="8">
        <f t="shared" si="4"/>
        <v>0.13509735000000003</v>
      </c>
      <c r="W6" s="8">
        <f t="shared" si="5"/>
        <v>0.14321320106457913</v>
      </c>
      <c r="X6" s="8">
        <f t="shared" si="6"/>
        <v>-0.33575865108008102</v>
      </c>
      <c r="Y6" s="8">
        <f t="shared" si="7"/>
        <v>0.36502587954045002</v>
      </c>
      <c r="Z6" s="8">
        <f t="shared" si="8"/>
        <v>0.7606743700734192</v>
      </c>
      <c r="AA6" s="8">
        <f t="shared" si="9"/>
        <v>-0.92173108969147222</v>
      </c>
      <c r="AB6" s="8">
        <f t="shared" si="10"/>
        <v>2.4881714832738377</v>
      </c>
      <c r="AC6" s="8">
        <f t="shared" si="11"/>
        <v>3.2304925601560979</v>
      </c>
      <c r="AD6" s="8">
        <f t="shared" si="12"/>
        <v>5.182801051412466E-2</v>
      </c>
      <c r="AE6" s="8">
        <f t="shared" si="13"/>
        <v>7.6221646158988673E-2</v>
      </c>
      <c r="AF6" s="8">
        <f t="shared" si="14"/>
        <v>9.2173108969147224E-2</v>
      </c>
      <c r="AG6" s="8">
        <f t="shared" si="15"/>
        <v>-0.11139148091100882</v>
      </c>
      <c r="AH6" s="8">
        <f t="shared" si="16"/>
        <v>-0.31491389444963336</v>
      </c>
      <c r="AI6" s="8">
        <f t="shared" si="17"/>
        <v>0.3340341643260199</v>
      </c>
      <c r="AJ6" s="8">
        <f t="shared" si="18"/>
        <v>-5.9602212091243355E-2</v>
      </c>
      <c r="AK6" s="8">
        <f t="shared" si="19"/>
        <v>-8.7654893082836971E-2</v>
      </c>
      <c r="AL6" s="8">
        <f t="shared" si="20"/>
        <v>0.10599907531451931</v>
      </c>
      <c r="AM6" s="8">
        <f t="shared" si="21"/>
        <v>0.12810020304766018</v>
      </c>
      <c r="AN6" s="8">
        <f t="shared" si="22"/>
        <v>0.36215097861707835</v>
      </c>
      <c r="AO6" s="8">
        <f t="shared" si="23"/>
        <v>0.38413928897492283</v>
      </c>
      <c r="AP6" s="8">
        <f t="shared" si="24"/>
        <v>-9.8084279150890373E-3</v>
      </c>
      <c r="AQ6" s="8">
        <f t="shared" si="24"/>
        <v>2.2995537433043445E-2</v>
      </c>
      <c r="AR6" s="8">
        <f t="shared" si="25"/>
        <v>7.1606600532289566E-2</v>
      </c>
      <c r="AS6" s="8">
        <f t="shared" si="26"/>
        <v>-0.16787932554004051</v>
      </c>
      <c r="AT6" s="8">
        <f t="shared" si="27"/>
        <v>1.5261419546030946E-2</v>
      </c>
      <c r="AU6" s="8">
        <f t="shared" si="27"/>
        <v>4.7613958808736173E-2</v>
      </c>
      <c r="AV6" s="8">
        <f t="shared" si="28"/>
        <v>1.5910860076785147E-2</v>
      </c>
      <c r="AW6" s="8">
        <f t="shared" si="29"/>
        <v>-0.32533627276485716</v>
      </c>
      <c r="AX6" s="8">
        <f t="shared" si="30"/>
        <v>1.7597286761871125E-2</v>
      </c>
      <c r="AY6" s="8">
        <f t="shared" si="30"/>
        <v>-1.1965529600501406E-2</v>
      </c>
      <c r="AZ6" s="8">
        <f t="shared" si="31"/>
        <v>2.3704107137862678E-2</v>
      </c>
      <c r="BA6" s="8">
        <f t="shared" si="32"/>
        <v>6.7013676738881978E-2</v>
      </c>
      <c r="BB6" s="8">
        <f t="shared" si="33"/>
        <v>0.1</v>
      </c>
      <c r="BC6" s="8">
        <f t="shared" si="34"/>
        <v>0.1</v>
      </c>
      <c r="BD6" s="8">
        <f t="shared" si="35"/>
        <v>72.228095025332792</v>
      </c>
      <c r="BE6" s="8">
        <f t="shared" si="36"/>
        <v>145.78569029992917</v>
      </c>
    </row>
    <row r="7" spans="1:57">
      <c r="A7" s="10">
        <v>1.899</v>
      </c>
      <c r="B7" s="9">
        <v>-270.39999999999998</v>
      </c>
      <c r="C7" s="8">
        <f t="shared" si="0"/>
        <v>-4.7193702973926666</v>
      </c>
      <c r="D7" s="8">
        <f>Supuestos!$B$10</f>
        <v>-2.7019470000000001</v>
      </c>
      <c r="E7" s="8">
        <f>Supuestos!$B$11</f>
        <v>0</v>
      </c>
      <c r="F7" s="8">
        <f>Supuestos!$B$4*COS(C7)</f>
        <v>3.4906301489804671E-4</v>
      </c>
      <c r="G7" s="8">
        <f>Supuestos!$B$4*SIN(C7)</f>
        <v>4.9998781535269737E-2</v>
      </c>
      <c r="H7" s="8">
        <f>SQRT((Supuestos!$B$8-F7)^2+(Supuestos!$B$9-G7)^2)</f>
        <v>9.9599812340415261E-2</v>
      </c>
      <c r="I7" s="8">
        <f>(F7+Supuestos!$B$8)/2</f>
        <v>4.6974531507449027E-2</v>
      </c>
      <c r="J7" s="8">
        <f>(G7+Supuestos!$B$9)/2</f>
        <v>6.749439076763486E-2</v>
      </c>
      <c r="K7" s="8">
        <f>SQRT(Supuestos!$B$5^2-(H7/2)^2)</f>
        <v>8.6717756805849852E-2</v>
      </c>
      <c r="L7" s="8">
        <f>I7-K7*(Supuestos!$B$9-G7)/H7</f>
        <v>1.6509012528418084E-2</v>
      </c>
      <c r="M7" s="8">
        <f>J7+K7*(Supuestos!$B$8-F7)/H7</f>
        <v>0.14868442401542226</v>
      </c>
      <c r="N7" s="8">
        <f t="shared" si="1"/>
        <v>1.6159949513520035E-2</v>
      </c>
      <c r="O7" s="8">
        <f t="shared" si="1"/>
        <v>9.8685642480152519E-2</v>
      </c>
      <c r="P7" s="8">
        <f>L7-Supuestos!$B$8</f>
        <v>-7.7090987471581912E-2</v>
      </c>
      <c r="Q7" s="8">
        <f>M7-Supuestos!$B$9</f>
        <v>6.369442401542226E-2</v>
      </c>
      <c r="R7" s="8">
        <f>-(Supuestos!$B$7/Supuestos!$B$6)*P7</f>
        <v>8.8654635592319189E-2</v>
      </c>
      <c r="S7" s="8">
        <f>-(Supuestos!$B$7/Supuestos!$B$6)*Q7</f>
        <v>-7.3248587617735589E-2</v>
      </c>
      <c r="T7" s="8">
        <f t="shared" si="2"/>
        <v>0.13509405777287747</v>
      </c>
      <c r="U7" s="8">
        <f t="shared" si="3"/>
        <v>-9.4314976591473268E-4</v>
      </c>
      <c r="V7" s="8">
        <f t="shared" si="4"/>
        <v>0.13509735</v>
      </c>
      <c r="W7" s="8">
        <f t="shared" si="5"/>
        <v>-2.5483406805640141E-3</v>
      </c>
      <c r="X7" s="8">
        <f t="shared" si="6"/>
        <v>-0.36501698411725292</v>
      </c>
      <c r="Y7" s="8">
        <f t="shared" si="7"/>
        <v>0.36502587954044996</v>
      </c>
      <c r="Z7" s="8">
        <f t="shared" si="8"/>
        <v>1.2127497984431972</v>
      </c>
      <c r="AA7" s="8">
        <f t="shared" si="9"/>
        <v>-0.24198452194344591</v>
      </c>
      <c r="AB7" s="8">
        <f t="shared" si="10"/>
        <v>3.4595146361888167</v>
      </c>
      <c r="AC7" s="8">
        <f t="shared" si="11"/>
        <v>5.8440654880449969</v>
      </c>
      <c r="AD7" s="8">
        <f t="shared" si="12"/>
        <v>1.5413064745835096E-2</v>
      </c>
      <c r="AE7" s="8">
        <f t="shared" si="13"/>
        <v>1.8654825749458929E-2</v>
      </c>
      <c r="AF7" s="8">
        <f t="shared" si="14"/>
        <v>2.4198452194344591E-2</v>
      </c>
      <c r="AG7" s="8">
        <f t="shared" si="15"/>
        <v>-0.36772020607851258</v>
      </c>
      <c r="AH7" s="8">
        <f t="shared" si="16"/>
        <v>-0.45425450242618537</v>
      </c>
      <c r="AI7" s="8">
        <f t="shared" si="17"/>
        <v>0.58443588436447413</v>
      </c>
      <c r="AJ7" s="8">
        <f t="shared" si="18"/>
        <v>-1.7725024457710358E-2</v>
      </c>
      <c r="AK7" s="8">
        <f t="shared" si="19"/>
        <v>-2.1453049611877766E-2</v>
      </c>
      <c r="AL7" s="8">
        <f t="shared" si="20"/>
        <v>2.7828220023496279E-2</v>
      </c>
      <c r="AM7" s="8">
        <f t="shared" si="21"/>
        <v>0.42287823699028942</v>
      </c>
      <c r="AN7" s="8">
        <f t="shared" si="22"/>
        <v>0.52239267779011311</v>
      </c>
      <c r="AO7" s="8">
        <f t="shared" si="23"/>
        <v>0.67210126701914519</v>
      </c>
      <c r="AP7" s="8">
        <f t="shared" si="24"/>
        <v>1.7453150744902335E-4</v>
      </c>
      <c r="AQ7" s="8">
        <f t="shared" si="24"/>
        <v>2.4999390767634869E-2</v>
      </c>
      <c r="AR7" s="8">
        <f t="shared" si="25"/>
        <v>-1.274170340282007E-3</v>
      </c>
      <c r="AS7" s="8">
        <f t="shared" si="26"/>
        <v>-0.18250849205862646</v>
      </c>
      <c r="AT7" s="8">
        <f t="shared" si="27"/>
        <v>8.0799747567600177E-3</v>
      </c>
      <c r="AU7" s="8">
        <f t="shared" si="27"/>
        <v>4.9342821240076259E-2</v>
      </c>
      <c r="AV7" s="8">
        <f t="shared" si="28"/>
        <v>-0.18513427337953831</v>
      </c>
      <c r="AW7" s="8">
        <f t="shared" si="29"/>
        <v>-0.40963574327171914</v>
      </c>
      <c r="AX7" s="8">
        <f t="shared" si="30"/>
        <v>1.6404962133952629E-2</v>
      </c>
      <c r="AY7" s="8">
        <f t="shared" si="30"/>
        <v>-1.3554173430481856E-2</v>
      </c>
      <c r="AZ7" s="8">
        <f t="shared" si="31"/>
        <v>7.8250859853507465E-2</v>
      </c>
      <c r="BA7" s="8">
        <f t="shared" si="32"/>
        <v>9.6665358116292233E-2</v>
      </c>
      <c r="BB7" s="8">
        <f t="shared" si="33"/>
        <v>9.9999999999999992E-2</v>
      </c>
      <c r="BC7" s="8">
        <f t="shared" si="34"/>
        <v>9.9999999999999992E-2</v>
      </c>
      <c r="BD7" s="8">
        <f t="shared" si="35"/>
        <v>80.700251160959851</v>
      </c>
      <c r="BE7" s="8">
        <f t="shared" si="36"/>
        <v>140.43566525736716</v>
      </c>
    </row>
    <row r="8" spans="1:57">
      <c r="A8" s="10">
        <v>2.0990000000000002</v>
      </c>
      <c r="B8" s="9">
        <v>-316.39999999999998</v>
      </c>
      <c r="C8" s="8">
        <f t="shared" si="0"/>
        <v>-5.5222217533100579</v>
      </c>
      <c r="D8" s="8">
        <f>Supuestos!$B$10</f>
        <v>-2.7019470000000001</v>
      </c>
      <c r="E8" s="8">
        <f>Supuestos!$B$11</f>
        <v>0</v>
      </c>
      <c r="F8" s="8">
        <f>Supuestos!$B$4*COS(C8)</f>
        <v>3.6208593071873345E-2</v>
      </c>
      <c r="G8" s="8">
        <f>Supuestos!$B$4*SIN(C8)</f>
        <v>3.4480977186783522E-2</v>
      </c>
      <c r="H8" s="8">
        <f>SQRT((Supuestos!$B$8-F8)^2+(Supuestos!$B$9-G8)^2)</f>
        <v>7.6452174427780975E-2</v>
      </c>
      <c r="I8" s="8">
        <f>(F8+Supuestos!$B$8)/2</f>
        <v>6.490429653593667E-2</v>
      </c>
      <c r="J8" s="8">
        <f>(G8+Supuestos!$B$9)/2</f>
        <v>5.9735488593391756E-2</v>
      </c>
      <c r="K8" s="8">
        <f>SQRT(Supuestos!$B$5^2-(H8/2)^2)</f>
        <v>9.2405444949505228E-2</v>
      </c>
      <c r="L8" s="8">
        <f>I8-K8*(Supuestos!$B$9-G8)/H8</f>
        <v>3.8555590480466584E-3</v>
      </c>
      <c r="M8" s="8">
        <f>J8+K8*(Supuestos!$B$8-F8)/H8</f>
        <v>0.12910275686489525</v>
      </c>
      <c r="N8" s="8">
        <f t="shared" si="1"/>
        <v>-3.2353034023826686E-2</v>
      </c>
      <c r="O8" s="8">
        <f t="shared" si="1"/>
        <v>9.4621779678111723E-2</v>
      </c>
      <c r="P8" s="8">
        <f>L8-Supuestos!$B$8</f>
        <v>-8.9744440951953344E-2</v>
      </c>
      <c r="Q8" s="8">
        <f>M8-Supuestos!$B$9</f>
        <v>4.4112756864895256E-2</v>
      </c>
      <c r="R8" s="8">
        <f>-(Supuestos!$B$7/Supuestos!$B$6)*P8</f>
        <v>0.10320610709474634</v>
      </c>
      <c r="S8" s="8">
        <f>-(Supuestos!$B$7/Supuestos!$B$6)*Q8</f>
        <v>-5.0729670394629542E-2</v>
      </c>
      <c r="T8" s="8">
        <f t="shared" si="2"/>
        <v>9.3165772866898186E-2</v>
      </c>
      <c r="U8" s="8">
        <f t="shared" si="3"/>
        <v>-9.7833699424768966E-2</v>
      </c>
      <c r="V8" s="8">
        <f t="shared" si="4"/>
        <v>0.13509735</v>
      </c>
      <c r="W8" s="8">
        <f t="shared" si="5"/>
        <v>-0.26434147065965624</v>
      </c>
      <c r="X8" s="8">
        <f t="shared" si="6"/>
        <v>-0.25172898050039694</v>
      </c>
      <c r="Y8" s="8">
        <f t="shared" si="7"/>
        <v>0.36502587954045002</v>
      </c>
      <c r="Z8" s="8">
        <f t="shared" si="8"/>
        <v>1.7944157390951136</v>
      </c>
      <c r="AA8" s="8">
        <f t="shared" si="9"/>
        <v>1.7370267309154181</v>
      </c>
      <c r="AB8" s="8">
        <f t="shared" si="10"/>
        <v>-2.8313281378760853</v>
      </c>
      <c r="AC8" s="8">
        <f t="shared" si="11"/>
        <v>3.6960783922187357</v>
      </c>
      <c r="AD8" s="8">
        <f t="shared" si="12"/>
        <v>-7.6625037848695676E-2</v>
      </c>
      <c r="AE8" s="8">
        <f t="shared" si="13"/>
        <v>-0.1558884928846033</v>
      </c>
      <c r="AF8" s="8">
        <f t="shared" si="14"/>
        <v>0.17370267309154186</v>
      </c>
      <c r="AG8" s="8">
        <f t="shared" si="15"/>
        <v>0.10773827171313585</v>
      </c>
      <c r="AH8" s="8">
        <f t="shared" si="16"/>
        <v>-0.46480222802485505</v>
      </c>
      <c r="AI8" s="8">
        <f t="shared" si="17"/>
        <v>0.47712539899758305</v>
      </c>
      <c r="AJ8" s="8">
        <f t="shared" si="18"/>
        <v>8.8118793526000022E-2</v>
      </c>
      <c r="AK8" s="8">
        <f t="shared" si="19"/>
        <v>0.17927176681729379</v>
      </c>
      <c r="AL8" s="8">
        <f t="shared" si="20"/>
        <v>0.19975807405527313</v>
      </c>
      <c r="AM8" s="8">
        <f t="shared" si="21"/>
        <v>-0.12389901247010621</v>
      </c>
      <c r="AN8" s="8">
        <f t="shared" si="22"/>
        <v>0.53452256222858319</v>
      </c>
      <c r="AO8" s="8">
        <f t="shared" si="23"/>
        <v>0.54869420884722042</v>
      </c>
      <c r="AP8" s="8">
        <f t="shared" si="24"/>
        <v>1.8104296535936672E-2</v>
      </c>
      <c r="AQ8" s="8">
        <f t="shared" si="24"/>
        <v>1.7240488593391761E-2</v>
      </c>
      <c r="AR8" s="8">
        <f t="shared" si="25"/>
        <v>-0.13217073532982812</v>
      </c>
      <c r="AS8" s="8">
        <f t="shared" si="26"/>
        <v>-0.12586449025019847</v>
      </c>
      <c r="AT8" s="8">
        <f t="shared" si="27"/>
        <v>-1.6176517011913343E-2</v>
      </c>
      <c r="AU8" s="8">
        <f t="shared" si="27"/>
        <v>4.7310889839055861E-2</v>
      </c>
      <c r="AV8" s="8">
        <f t="shared" si="28"/>
        <v>-7.8301599473260208E-2</v>
      </c>
      <c r="AW8" s="8">
        <f t="shared" si="29"/>
        <v>-0.35826560426262599</v>
      </c>
      <c r="AX8" s="8">
        <f t="shared" si="30"/>
        <v>1.9097617034575669E-2</v>
      </c>
      <c r="AY8" s="8">
        <f t="shared" si="30"/>
        <v>-9.3871946608497098E-3</v>
      </c>
      <c r="AZ8" s="8">
        <f t="shared" si="31"/>
        <v>-2.2926704220555302E-2</v>
      </c>
      <c r="BA8" s="8">
        <f t="shared" si="32"/>
        <v>9.890991412368913E-2</v>
      </c>
      <c r="BB8" s="8">
        <f t="shared" si="33"/>
        <v>0.10000000000000002</v>
      </c>
      <c r="BC8" s="8">
        <f t="shared" si="34"/>
        <v>0.10000000000000002</v>
      </c>
      <c r="BD8" s="8">
        <f t="shared" si="35"/>
        <v>108.87655985187284</v>
      </c>
      <c r="BE8" s="8">
        <f t="shared" si="36"/>
        <v>153.82415339717423</v>
      </c>
    </row>
  </sheetData>
  <mergeCells count="1">
    <mergeCell ref="A1:B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"/>
  <sheetViews>
    <sheetView workbookViewId="0">
      <selection sqref="A1:Q1"/>
    </sheetView>
  </sheetViews>
  <sheetFormatPr defaultRowHeight="14.25"/>
  <cols>
    <col min="1" max="16" width="13" customWidth="1"/>
    <col min="17" max="17" width="18" customWidth="1"/>
  </cols>
  <sheetData>
    <row r="1" spans="1:17" ht="14.5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3" spans="1:17" ht="14.5">
      <c r="A3" s="7" t="s">
        <v>31</v>
      </c>
      <c r="B3" s="7" t="s">
        <v>32</v>
      </c>
      <c r="C3" s="7" t="s">
        <v>56</v>
      </c>
      <c r="D3" s="7" t="s">
        <v>57</v>
      </c>
      <c r="E3" s="7" t="s">
        <v>58</v>
      </c>
      <c r="F3" s="7" t="s">
        <v>59</v>
      </c>
      <c r="G3" s="7" t="s">
        <v>89</v>
      </c>
      <c r="H3" s="7" t="s">
        <v>90</v>
      </c>
      <c r="I3" s="7" t="s">
        <v>52</v>
      </c>
      <c r="J3" s="7" t="s">
        <v>55</v>
      </c>
      <c r="K3" s="7" t="s">
        <v>62</v>
      </c>
      <c r="L3" s="7" t="s">
        <v>65</v>
      </c>
      <c r="M3" s="7" t="s">
        <v>91</v>
      </c>
      <c r="N3" s="7" t="s">
        <v>92</v>
      </c>
      <c r="O3" s="7" t="s">
        <v>68</v>
      </c>
      <c r="P3" s="7" t="s">
        <v>71</v>
      </c>
      <c r="Q3" s="7" t="s">
        <v>93</v>
      </c>
    </row>
    <row r="4" spans="1:17">
      <c r="A4" s="8">
        <f>Cinematica!A3</f>
        <v>0.9</v>
      </c>
      <c r="B4" s="9">
        <f>Cinematica!B3</f>
        <v>-145.30000000000001</v>
      </c>
      <c r="C4" s="8">
        <f>Cinematica!Z3</f>
        <v>-0.62939898593109278</v>
      </c>
      <c r="D4" s="8">
        <f>Cinematica!AA3</f>
        <v>-0.89794133594870185</v>
      </c>
      <c r="E4" s="8">
        <f>Cinematica!AB3</f>
        <v>2.8020279951818066</v>
      </c>
      <c r="F4" s="8">
        <f>Cinematica!AC3</f>
        <v>-2.6322857178312695</v>
      </c>
      <c r="G4" s="8">
        <f>0</f>
        <v>0</v>
      </c>
      <c r="H4" s="8">
        <f>0</f>
        <v>0</v>
      </c>
      <c r="I4" s="8">
        <f>Cinematica!V3</f>
        <v>0.13509735</v>
      </c>
      <c r="J4" s="8">
        <f>Cinematica!Y3</f>
        <v>0.36502587954045002</v>
      </c>
      <c r="K4" s="8">
        <f>Cinematica!AF3</f>
        <v>8.9794133594870179E-2</v>
      </c>
      <c r="L4" s="8">
        <f>Cinematica!AI3</f>
        <v>0.27530066475924486</v>
      </c>
      <c r="M4" s="8">
        <f>0</f>
        <v>0</v>
      </c>
      <c r="N4" s="8">
        <f>0</f>
        <v>0</v>
      </c>
      <c r="O4" s="8">
        <f>Cinematica!AL3</f>
        <v>0.1032632536341007</v>
      </c>
      <c r="P4" s="8">
        <f>Cinematica!AO3</f>
        <v>0.31659576447313159</v>
      </c>
      <c r="Q4" t="str">
        <f>IF(ABS(Cinematica!BB3-Supuestos!$B$5)&lt;0.000000001,"OK","Revisar")</f>
        <v>OK</v>
      </c>
    </row>
    <row r="5" spans="1:17">
      <c r="A5" s="8">
        <f>Cinematica!A4</f>
        <v>1.266</v>
      </c>
      <c r="B5" s="9">
        <f>Cinematica!B4</f>
        <v>-185.3</v>
      </c>
      <c r="C5" s="8">
        <f>Cinematica!Z4</f>
        <v>-3.9107909116498701E-3</v>
      </c>
      <c r="D5" s="8">
        <f>Cinematica!AA4</f>
        <v>-1.3495960083632719</v>
      </c>
      <c r="E5" s="8">
        <f>Cinematica!AB4</f>
        <v>1.9530635993068168</v>
      </c>
      <c r="F5" s="8">
        <f>Cinematica!AC4</f>
        <v>-0.69532608472166602</v>
      </c>
      <c r="G5" s="8">
        <f>0</f>
        <v>0</v>
      </c>
      <c r="H5" s="8">
        <f>0</f>
        <v>0</v>
      </c>
      <c r="I5" s="8">
        <f>Cinematica!V4</f>
        <v>0.13509735000000003</v>
      </c>
      <c r="J5" s="8">
        <f>Cinematica!Y4</f>
        <v>0.36502587954045002</v>
      </c>
      <c r="K5" s="8">
        <f>Cinematica!AF4</f>
        <v>0.13495960083632719</v>
      </c>
      <c r="L5" s="8">
        <f>Cinematica!AI4</f>
        <v>0.19496180432942617</v>
      </c>
      <c r="M5" s="8">
        <f>0</f>
        <v>0</v>
      </c>
      <c r="N5" s="8">
        <f>0</f>
        <v>0</v>
      </c>
      <c r="O5" s="8">
        <f>Cinematica!AL4</f>
        <v>0.15520354096177624</v>
      </c>
      <c r="P5" s="8">
        <f>Cinematica!AO4</f>
        <v>0.22420607497884007</v>
      </c>
      <c r="Q5" t="str">
        <f>IF(ABS(Cinematica!BB4-Supuestos!$B$5)&lt;0.000000001,"OK","Revisar")</f>
        <v>OK</v>
      </c>
    </row>
    <row r="6" spans="1:17">
      <c r="A6" s="8">
        <f>Cinematica!A5</f>
        <v>1.633</v>
      </c>
      <c r="B6" s="9">
        <f>Cinematica!B5</f>
        <v>-226.8</v>
      </c>
      <c r="C6" s="8">
        <f>Cinematica!Z5</f>
        <v>0.47910426660236194</v>
      </c>
      <c r="D6" s="8">
        <f>Cinematica!AA5</f>
        <v>-1.2323173764451805</v>
      </c>
      <c r="E6" s="8">
        <f>Cinematica!AB5</f>
        <v>1.9144825096830531</v>
      </c>
      <c r="F6" s="8">
        <f>Cinematica!AC5</f>
        <v>1.6456260486333512</v>
      </c>
      <c r="G6" s="8">
        <f>0</f>
        <v>0</v>
      </c>
      <c r="H6" s="8">
        <f>0</f>
        <v>0</v>
      </c>
      <c r="I6" s="8">
        <f>Cinematica!V5</f>
        <v>0.13509735000000003</v>
      </c>
      <c r="J6" s="8">
        <f>Cinematica!Y5</f>
        <v>0.36502587954045002</v>
      </c>
      <c r="K6" s="8">
        <f>Cinematica!AF5</f>
        <v>0.12323173764451807</v>
      </c>
      <c r="L6" s="8">
        <f>Cinematica!AI5</f>
        <v>0.22392520243086006</v>
      </c>
      <c r="M6" s="8">
        <f>0</f>
        <v>0</v>
      </c>
      <c r="N6" s="8">
        <f>0</f>
        <v>0</v>
      </c>
      <c r="O6" s="8">
        <f>Cinematica!AL5</f>
        <v>0.14171649829119576</v>
      </c>
      <c r="P6" s="8">
        <f>Cinematica!AO5</f>
        <v>0.25751398279548904</v>
      </c>
      <c r="Q6" t="str">
        <f>IF(ABS(Cinematica!BB5-Supuestos!$B$5)&lt;0.000000001,"OK","Revisar")</f>
        <v>OK</v>
      </c>
    </row>
    <row r="7" spans="1:17">
      <c r="A7" s="8">
        <f>Cinematica!A6</f>
        <v>1.766</v>
      </c>
      <c r="B7" s="9">
        <f>Cinematica!B6</f>
        <v>-246.9</v>
      </c>
      <c r="C7" s="8">
        <f>Cinematica!Z6</f>
        <v>0.7606743700734192</v>
      </c>
      <c r="D7" s="8">
        <f>Cinematica!AA6</f>
        <v>-0.92173108969147222</v>
      </c>
      <c r="E7" s="8">
        <f>Cinematica!AB6</f>
        <v>2.4881714832738377</v>
      </c>
      <c r="F7" s="8">
        <f>Cinematica!AC6</f>
        <v>3.2304925601560979</v>
      </c>
      <c r="G7" s="8">
        <f>0</f>
        <v>0</v>
      </c>
      <c r="H7" s="8">
        <f>0</f>
        <v>0</v>
      </c>
      <c r="I7" s="8">
        <f>Cinematica!V6</f>
        <v>0.13509735000000003</v>
      </c>
      <c r="J7" s="8">
        <f>Cinematica!Y6</f>
        <v>0.36502587954045002</v>
      </c>
      <c r="K7" s="8">
        <f>Cinematica!AF6</f>
        <v>9.2173108969147224E-2</v>
      </c>
      <c r="L7" s="8">
        <f>Cinematica!AI6</f>
        <v>0.3340341643260199</v>
      </c>
      <c r="M7" s="8">
        <f>0</f>
        <v>0</v>
      </c>
      <c r="N7" s="8">
        <f>0</f>
        <v>0</v>
      </c>
      <c r="O7" s="8">
        <f>Cinematica!AL6</f>
        <v>0.10599907531451931</v>
      </c>
      <c r="P7" s="8">
        <f>Cinematica!AO6</f>
        <v>0.38413928897492283</v>
      </c>
      <c r="Q7" t="str">
        <f>IF(ABS(Cinematica!BB6-Supuestos!$B$5)&lt;0.000000001,"OK","Revisar")</f>
        <v>OK</v>
      </c>
    </row>
    <row r="8" spans="1:17">
      <c r="A8" s="8">
        <f>Cinematica!A7</f>
        <v>1.899</v>
      </c>
      <c r="B8" s="9">
        <f>Cinematica!B7</f>
        <v>-270.39999999999998</v>
      </c>
      <c r="C8" s="8">
        <f>Cinematica!Z7</f>
        <v>1.2127497984431972</v>
      </c>
      <c r="D8" s="8">
        <f>Cinematica!AA7</f>
        <v>-0.24198452194344591</v>
      </c>
      <c r="E8" s="8">
        <f>Cinematica!AB7</f>
        <v>3.4595146361888167</v>
      </c>
      <c r="F8" s="8">
        <f>Cinematica!AC7</f>
        <v>5.8440654880449969</v>
      </c>
      <c r="G8" s="8">
        <f>0</f>
        <v>0</v>
      </c>
      <c r="H8" s="8">
        <f>0</f>
        <v>0</v>
      </c>
      <c r="I8" s="8">
        <f>Cinematica!V7</f>
        <v>0.13509735</v>
      </c>
      <c r="J8" s="8">
        <f>Cinematica!Y7</f>
        <v>0.36502587954044996</v>
      </c>
      <c r="K8" s="8">
        <f>Cinematica!AF7</f>
        <v>2.4198452194344591E-2</v>
      </c>
      <c r="L8" s="8">
        <f>Cinematica!AI7</f>
        <v>0.58443588436447413</v>
      </c>
      <c r="M8" s="8">
        <f>0</f>
        <v>0</v>
      </c>
      <c r="N8" s="8">
        <f>0</f>
        <v>0</v>
      </c>
      <c r="O8" s="8">
        <f>Cinematica!AL7</f>
        <v>2.7828220023496279E-2</v>
      </c>
      <c r="P8" s="8">
        <f>Cinematica!AO7</f>
        <v>0.67210126701914519</v>
      </c>
      <c r="Q8" t="str">
        <f>IF(ABS(Cinematica!BB7-Supuestos!$B$5)&lt;0.000000001,"OK","Revisar")</f>
        <v>OK</v>
      </c>
    </row>
    <row r="9" spans="1:17">
      <c r="A9" s="8">
        <f>Cinematica!A8</f>
        <v>2.0990000000000002</v>
      </c>
      <c r="B9" s="9">
        <f>Cinematica!B8</f>
        <v>-316.39999999999998</v>
      </c>
      <c r="C9" s="8">
        <f>Cinematica!Z8</f>
        <v>1.7944157390951136</v>
      </c>
      <c r="D9" s="8">
        <f>Cinematica!AA8</f>
        <v>1.7370267309154181</v>
      </c>
      <c r="E9" s="8">
        <f>Cinematica!AB8</f>
        <v>-2.8313281378760853</v>
      </c>
      <c r="F9" s="8">
        <f>Cinematica!AC8</f>
        <v>3.6960783922187357</v>
      </c>
      <c r="G9" s="8">
        <f>0</f>
        <v>0</v>
      </c>
      <c r="H9" s="8">
        <f>0</f>
        <v>0</v>
      </c>
      <c r="I9" s="8">
        <f>Cinematica!V8</f>
        <v>0.13509735</v>
      </c>
      <c r="J9" s="8">
        <f>Cinematica!Y8</f>
        <v>0.36502587954045002</v>
      </c>
      <c r="K9" s="8">
        <f>Cinematica!AF8</f>
        <v>0.17370267309154186</v>
      </c>
      <c r="L9" s="8">
        <f>Cinematica!AI8</f>
        <v>0.47712539899758305</v>
      </c>
      <c r="M9" s="8">
        <f>0</f>
        <v>0</v>
      </c>
      <c r="N9" s="8">
        <f>0</f>
        <v>0</v>
      </c>
      <c r="O9" s="8">
        <f>Cinematica!AL8</f>
        <v>0.19975807405527313</v>
      </c>
      <c r="P9" s="8">
        <f>Cinematica!AO8</f>
        <v>0.54869420884722042</v>
      </c>
      <c r="Q9" t="str">
        <f>IF(ABS(Cinematica!BB8-Supuestos!$B$5)&lt;0.000000001,"OK","Revisar")</f>
        <v>OK</v>
      </c>
    </row>
  </sheetData>
  <mergeCells count="1">
    <mergeCell ref="A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"/>
  <sheetViews>
    <sheetView workbookViewId="0">
      <selection activeCell="B7" sqref="B7"/>
    </sheetView>
  </sheetViews>
  <sheetFormatPr defaultRowHeight="14.25"/>
  <cols>
    <col min="1" max="1" width="18" customWidth="1"/>
    <col min="2" max="12" width="13" customWidth="1"/>
  </cols>
  <sheetData>
    <row r="1" spans="1:12" ht="14.5">
      <c r="A1" s="24" t="s">
        <v>94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13"/>
    </row>
    <row r="2" spans="1:12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4.5">
      <c r="A3" s="25" t="str">
        <f>"Posición 1   t="&amp;TEXT(Cinematica!A3,"0.000")&amp;" s   θ_AB="&amp;TEXT(Cinematica!B3,"0.0")&amp;"°"</f>
        <v>Posición 1   t=0.900 s   θ_AB=-145.3°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13"/>
    </row>
    <row r="4" spans="1:12" ht="14.5">
      <c r="A4" s="1" t="s">
        <v>95</v>
      </c>
      <c r="B4" s="12" t="s">
        <v>96</v>
      </c>
      <c r="C4" s="12" t="s">
        <v>97</v>
      </c>
      <c r="D4" s="12" t="s">
        <v>98</v>
      </c>
      <c r="E4" s="12" t="s">
        <v>99</v>
      </c>
      <c r="F4" s="12" t="s">
        <v>100</v>
      </c>
      <c r="G4" s="12" t="s">
        <v>101</v>
      </c>
      <c r="H4" s="12" t="s">
        <v>102</v>
      </c>
      <c r="I4" s="12" t="s">
        <v>103</v>
      </c>
      <c r="J4" s="12" t="s">
        <v>104</v>
      </c>
      <c r="K4" s="12" t="s">
        <v>105</v>
      </c>
      <c r="L4" s="12" t="s">
        <v>106</v>
      </c>
    </row>
    <row r="5" spans="1:12">
      <c r="A5" t="s">
        <v>107</v>
      </c>
      <c r="B5" s="13">
        <f>1</f>
        <v>1</v>
      </c>
      <c r="C5" s="13">
        <f>0</f>
        <v>0</v>
      </c>
      <c r="D5" s="13">
        <f>1</f>
        <v>1</v>
      </c>
      <c r="E5" s="13">
        <f>0</f>
        <v>0</v>
      </c>
      <c r="F5" s="13">
        <f>0</f>
        <v>0</v>
      </c>
      <c r="G5" s="13">
        <f>0</f>
        <v>0</v>
      </c>
      <c r="H5" s="13">
        <f>0</f>
        <v>0</v>
      </c>
      <c r="I5" s="13">
        <f>0</f>
        <v>0</v>
      </c>
      <c r="J5" s="13">
        <f>0</f>
        <v>0</v>
      </c>
      <c r="K5" s="13">
        <f>Supuestos!$F$4*Cinematica!AR3</f>
        <v>4.2538970716887481E-4</v>
      </c>
      <c r="L5" s="13">
        <f>SUMPRODUCT(B5:J5,Reacciones!$B$4:$J$4)-K5</f>
        <v>7.0473141211557788E-19</v>
      </c>
    </row>
    <row r="6" spans="1:12">
      <c r="A6" t="s">
        <v>108</v>
      </c>
      <c r="B6" s="13">
        <f>0</f>
        <v>0</v>
      </c>
      <c r="C6" s="13">
        <f>1</f>
        <v>1</v>
      </c>
      <c r="D6" s="13">
        <f>0</f>
        <v>0</v>
      </c>
      <c r="E6" s="13">
        <f>1</f>
        <v>1</v>
      </c>
      <c r="F6" s="13">
        <f>0</f>
        <v>0</v>
      </c>
      <c r="G6" s="13">
        <f>0</f>
        <v>0</v>
      </c>
      <c r="H6" s="13">
        <f>0</f>
        <v>0</v>
      </c>
      <c r="I6" s="13">
        <f>0</f>
        <v>0</v>
      </c>
      <c r="J6" s="13">
        <f>0</f>
        <v>0</v>
      </c>
      <c r="K6" s="13">
        <f>Supuestos!$F$4*Cinematica!AS3+Supuestos!$G$4</f>
        <v>2.8105413297976663E-2</v>
      </c>
      <c r="L6" s="13">
        <f>SUMPRODUCT(B6:J6,Reacciones!$B$4:$J$4)-K6</f>
        <v>0</v>
      </c>
    </row>
    <row r="7" spans="1:12">
      <c r="A7" t="s">
        <v>109</v>
      </c>
      <c r="B7" s="13">
        <f>Cinematica!AQ3</f>
        <v>-1.42319880857711E-2</v>
      </c>
      <c r="C7" s="13">
        <f>-Cinematica!AP3</f>
        <v>2.0553601025768441E-2</v>
      </c>
      <c r="D7" s="13">
        <f>-(Cinematica!G3-Cinematica!AQ3)</f>
        <v>1.42319880857711E-2</v>
      </c>
      <c r="E7" s="13">
        <f>Cinematica!F3-Cinematica!AP3</f>
        <v>-2.0553601025768441E-2</v>
      </c>
      <c r="F7" s="13">
        <f>0</f>
        <v>0</v>
      </c>
      <c r="G7" s="13">
        <f>0</f>
        <v>0</v>
      </c>
      <c r="H7" s="13">
        <f>0</f>
        <v>0</v>
      </c>
      <c r="I7" s="13">
        <f>0</f>
        <v>0</v>
      </c>
      <c r="J7" s="13">
        <f>1</f>
        <v>1</v>
      </c>
      <c r="K7" s="13">
        <f>Supuestos!$H$4*Cinematica!E3</f>
        <v>0</v>
      </c>
      <c r="L7" s="13">
        <f>SUMPRODUCT(B7:J7,Reacciones!$B$4:$J$4)-K7</f>
        <v>8.6736173798840355E-19</v>
      </c>
    </row>
    <row r="8" spans="1:12">
      <c r="A8" t="s">
        <v>110</v>
      </c>
      <c r="B8" s="13">
        <f>0</f>
        <v>0</v>
      </c>
      <c r="C8" s="13">
        <f>0</f>
        <v>0</v>
      </c>
      <c r="D8" s="13">
        <f>-1</f>
        <v>-1</v>
      </c>
      <c r="E8" s="13">
        <f>0</f>
        <v>0</v>
      </c>
      <c r="F8" s="13">
        <f>1</f>
        <v>1</v>
      </c>
      <c r="G8" s="13">
        <f>0</f>
        <v>0</v>
      </c>
      <c r="H8" s="13">
        <f>0</f>
        <v>0</v>
      </c>
      <c r="I8" s="13">
        <f>0</f>
        <v>0</v>
      </c>
      <c r="J8" s="13">
        <f>0</f>
        <v>0</v>
      </c>
      <c r="K8" s="13">
        <f>Supuestos!$F$5*Cinematica!AV3</f>
        <v>6.9125146952586593E-4</v>
      </c>
      <c r="L8" s="13">
        <f>SUMPRODUCT(B8:J8,Reacciones!$B$4:$J$4)-K8</f>
        <v>-1.1926223897340549E-18</v>
      </c>
    </row>
    <row r="9" spans="1:12">
      <c r="A9" t="s">
        <v>111</v>
      </c>
      <c r="B9" s="13">
        <f>0</f>
        <v>0</v>
      </c>
      <c r="C9" s="13">
        <f>0</f>
        <v>0</v>
      </c>
      <c r="D9" s="13">
        <f>0</f>
        <v>0</v>
      </c>
      <c r="E9" s="13">
        <f>-1</f>
        <v>-1</v>
      </c>
      <c r="F9" s="13">
        <f>0</f>
        <v>0</v>
      </c>
      <c r="G9" s="13">
        <f>1</f>
        <v>1</v>
      </c>
      <c r="H9" s="13">
        <f>0</f>
        <v>0</v>
      </c>
      <c r="I9" s="13">
        <f>0</f>
        <v>0</v>
      </c>
      <c r="J9" s="13">
        <f>0</f>
        <v>0</v>
      </c>
      <c r="K9" s="13">
        <f>Supuestos!$F$5*Cinematica!AW3+Supuestos!$G$5</f>
        <v>4.2741048095951015E-2</v>
      </c>
      <c r="L9" s="13">
        <f>SUMPRODUCT(B9:J9,Reacciones!$B$4:$J$4)-K9</f>
        <v>0</v>
      </c>
    </row>
    <row r="10" spans="1:12">
      <c r="A10" t="s">
        <v>112</v>
      </c>
      <c r="B10" s="13">
        <f>0</f>
        <v>0</v>
      </c>
      <c r="C10" s="13">
        <f>0</f>
        <v>0</v>
      </c>
      <c r="D10" s="13">
        <f>-Cinematica!AU3</f>
        <v>-4.6485889294108948E-2</v>
      </c>
      <c r="E10" s="13">
        <f>Cinematica!AT3</f>
        <v>1.8413638872744494E-2</v>
      </c>
      <c r="F10" s="13">
        <f>-(Cinematica!O3-Cinematica!AU3)</f>
        <v>-4.6485889294108948E-2</v>
      </c>
      <c r="G10" s="13">
        <f>Cinematica!N3-Cinematica!AT3</f>
        <v>1.8413638872744494E-2</v>
      </c>
      <c r="H10" s="13">
        <f>0</f>
        <v>0</v>
      </c>
      <c r="I10" s="13">
        <f>0</f>
        <v>0</v>
      </c>
      <c r="J10" s="13">
        <f>0</f>
        <v>0</v>
      </c>
      <c r="K10" s="13">
        <f>Supuestos!$H$5*Cinematica!AB3</f>
        <v>9.9295115811758296E-6</v>
      </c>
      <c r="L10" s="13">
        <f>SUMPRODUCT(B10:J10,Reacciones!$B$4:$J$4)-K10</f>
        <v>2.388632911257127E-19</v>
      </c>
    </row>
    <row r="11" spans="1:12">
      <c r="A11" t="s">
        <v>113</v>
      </c>
      <c r="B11" s="13">
        <f>0</f>
        <v>0</v>
      </c>
      <c r="C11" s="13">
        <f>0</f>
        <v>0</v>
      </c>
      <c r="D11" s="13">
        <f>0</f>
        <v>0</v>
      </c>
      <c r="E11" s="13">
        <f>0</f>
        <v>0</v>
      </c>
      <c r="F11" s="13">
        <f>-1</f>
        <v>-1</v>
      </c>
      <c r="G11" s="13">
        <f>0</f>
        <v>0</v>
      </c>
      <c r="H11" s="13">
        <f>1</f>
        <v>1</v>
      </c>
      <c r="I11" s="13">
        <f>0</f>
        <v>0</v>
      </c>
      <c r="J11" s="13">
        <f>0</f>
        <v>0</v>
      </c>
      <c r="K11" s="13">
        <f>Supuestos!$F$6*Cinematica!AZ3</f>
        <v>-6.0340896996263645E-5</v>
      </c>
      <c r="L11" s="13">
        <f>SUMPRODUCT(B11:J11,Reacciones!$B$4:$J$4)-K11</f>
        <v>9.1479558303464437E-19</v>
      </c>
    </row>
    <row r="12" spans="1:12">
      <c r="A12" t="s">
        <v>114</v>
      </c>
      <c r="B12" s="13">
        <f>0</f>
        <v>0</v>
      </c>
      <c r="C12" s="13">
        <f>0</f>
        <v>0</v>
      </c>
      <c r="D12" s="13">
        <f>0</f>
        <v>0</v>
      </c>
      <c r="E12" s="13">
        <f>0</f>
        <v>0</v>
      </c>
      <c r="F12" s="13">
        <f>0</f>
        <v>0</v>
      </c>
      <c r="G12" s="13">
        <f>-1</f>
        <v>-1</v>
      </c>
      <c r="H12" s="13">
        <f>0</f>
        <v>0</v>
      </c>
      <c r="I12" s="13">
        <f>1</f>
        <v>1</v>
      </c>
      <c r="J12" s="13">
        <f>0</f>
        <v>0</v>
      </c>
      <c r="K12" s="13">
        <f>Supuestos!$F$6*Cinematica!BA3+Supuestos!$G$6</f>
        <v>0.11058185341277747</v>
      </c>
      <c r="L12" s="13">
        <f>SUMPRODUCT(B12:J12,Reacciones!$B$4:$J$4)-K12</f>
        <v>0</v>
      </c>
    </row>
    <row r="13" spans="1:12">
      <c r="A13" t="s">
        <v>115</v>
      </c>
      <c r="B13" s="13">
        <f>0</f>
        <v>0</v>
      </c>
      <c r="C13" s="13">
        <f>0</f>
        <v>0</v>
      </c>
      <c r="D13" s="13">
        <f>0</f>
        <v>0</v>
      </c>
      <c r="E13" s="13">
        <f>0</f>
        <v>0</v>
      </c>
      <c r="F13" s="13">
        <f>Cinematica!Q3-Cinematica!AY3</f>
        <v>-2.484080922905571E-2</v>
      </c>
      <c r="G13" s="13">
        <f>-(Cinematica!P3-Cinematica!AX3)</f>
        <v>0.11870877219837488</v>
      </c>
      <c r="H13" s="13">
        <f>Cinematica!AY3</f>
        <v>4.3586116457314103E-3</v>
      </c>
      <c r="I13" s="13">
        <f>-Cinematica!AX3</f>
        <v>-2.0828847892326991E-2</v>
      </c>
      <c r="J13" s="13">
        <f>0</f>
        <v>0</v>
      </c>
      <c r="K13" s="13">
        <f>Supuestos!$H$6*Cinematica!AC3</f>
        <v>-1.522066570621575E-4</v>
      </c>
      <c r="L13" s="13">
        <f>SUMPRODUCT(B13:J13,Reacciones!$B$4:$J$4)-K13</f>
        <v>-8.6736173798840355E-19</v>
      </c>
    </row>
    <row r="14" spans="1:12" ht="14.5">
      <c r="A14" s="11" t="s">
        <v>116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ht="14.5">
      <c r="A17" s="25" t="str">
        <f>"Posición 2   t="&amp;TEXT(Cinematica!A4,"0.000")&amp;" s   θ_AB="&amp;TEXT(Cinematica!B4,"0.0")&amp;"°"</f>
        <v>Posición 2   t=1.266 s   θ_AB=-185.3°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13"/>
    </row>
    <row r="18" spans="1:12" ht="14.5">
      <c r="A18" s="1" t="s">
        <v>95</v>
      </c>
      <c r="B18" s="12" t="s">
        <v>96</v>
      </c>
      <c r="C18" s="12" t="s">
        <v>97</v>
      </c>
      <c r="D18" s="12" t="s">
        <v>98</v>
      </c>
      <c r="E18" s="12" t="s">
        <v>99</v>
      </c>
      <c r="F18" s="12" t="s">
        <v>100</v>
      </c>
      <c r="G18" s="12" t="s">
        <v>101</v>
      </c>
      <c r="H18" s="12" t="s">
        <v>102</v>
      </c>
      <c r="I18" s="12" t="s">
        <v>103</v>
      </c>
      <c r="J18" s="12" t="s">
        <v>104</v>
      </c>
      <c r="K18" s="12" t="s">
        <v>105</v>
      </c>
      <c r="L18" s="12" t="s">
        <v>106</v>
      </c>
    </row>
    <row r="19" spans="1:12">
      <c r="A19" t="s">
        <v>107</v>
      </c>
      <c r="B19" s="13">
        <f>1</f>
        <v>1</v>
      </c>
      <c r="C19" s="13">
        <f>0</f>
        <v>0</v>
      </c>
      <c r="D19" s="13">
        <f>1</f>
        <v>1</v>
      </c>
      <c r="E19" s="13">
        <f>0</f>
        <v>0</v>
      </c>
      <c r="F19" s="13">
        <f>0</f>
        <v>0</v>
      </c>
      <c r="G19" s="13">
        <f>0</f>
        <v>0</v>
      </c>
      <c r="H19" s="13">
        <f>0</f>
        <v>0</v>
      </c>
      <c r="I19" s="13">
        <f>0</f>
        <v>0</v>
      </c>
      <c r="J19" s="13">
        <f>0</f>
        <v>0</v>
      </c>
      <c r="K19" s="13">
        <f>Supuestos!$F$4*Cinematica!AR4</f>
        <v>5.1520295306223545E-4</v>
      </c>
      <c r="L19" s="13">
        <f>SUMPRODUCT(B19:J19,Reacciones!$B$5:$J$5)-K19</f>
        <v>-1.0842021724855044E-18</v>
      </c>
    </row>
    <row r="20" spans="1:12">
      <c r="A20" t="s">
        <v>108</v>
      </c>
      <c r="B20" s="13">
        <f>0</f>
        <v>0</v>
      </c>
      <c r="C20" s="13">
        <f>1</f>
        <v>1</v>
      </c>
      <c r="D20" s="13">
        <f>0</f>
        <v>0</v>
      </c>
      <c r="E20" s="13">
        <f>1</f>
        <v>1</v>
      </c>
      <c r="F20" s="13">
        <f>0</f>
        <v>0</v>
      </c>
      <c r="G20" s="13">
        <f>0</f>
        <v>0</v>
      </c>
      <c r="H20" s="13">
        <f>0</f>
        <v>0</v>
      </c>
      <c r="I20" s="13">
        <f>0</f>
        <v>0</v>
      </c>
      <c r="J20" s="13">
        <f>0</f>
        <v>0</v>
      </c>
      <c r="K20" s="13">
        <f>Supuestos!$F$4*Cinematica!AS4+Supuestos!$G$4</f>
        <v>2.7763065567083276E-2</v>
      </c>
      <c r="L20" s="13">
        <f>SUMPRODUCT(B20:J20,Reacciones!$B$5:$J$5)-K20</f>
        <v>0</v>
      </c>
    </row>
    <row r="21" spans="1:12">
      <c r="A21" t="s">
        <v>109</v>
      </c>
      <c r="B21" s="13">
        <f>Cinematica!AQ4</f>
        <v>2.309264686164048E-3</v>
      </c>
      <c r="C21" s="13">
        <f>-Cinematica!AP4</f>
        <v>2.4893117454614554E-2</v>
      </c>
      <c r="D21" s="13">
        <f>-(Cinematica!G4-Cinematica!AQ4)</f>
        <v>-2.309264686164048E-3</v>
      </c>
      <c r="E21" s="13">
        <f>Cinematica!F4-Cinematica!AP4</f>
        <v>-2.4893117454614554E-2</v>
      </c>
      <c r="F21" s="13">
        <f>0</f>
        <v>0</v>
      </c>
      <c r="G21" s="13">
        <f>0</f>
        <v>0</v>
      </c>
      <c r="H21" s="13">
        <f>0</f>
        <v>0</v>
      </c>
      <c r="I21" s="13">
        <f>0</f>
        <v>0</v>
      </c>
      <c r="J21" s="13">
        <f>1</f>
        <v>1</v>
      </c>
      <c r="K21" s="13">
        <f>Supuestos!$H$4*Cinematica!E4</f>
        <v>0</v>
      </c>
      <c r="L21" s="13">
        <f>SUMPRODUCT(B21:J21,Reacciones!$B$5:$J$5)-K21</f>
        <v>-1.0842021724855044E-18</v>
      </c>
    </row>
    <row r="22" spans="1:12">
      <c r="A22" t="s">
        <v>110</v>
      </c>
      <c r="B22" s="13">
        <f>0</f>
        <v>0</v>
      </c>
      <c r="C22" s="13">
        <f>0</f>
        <v>0</v>
      </c>
      <c r="D22" s="13">
        <f>-1</f>
        <v>-1</v>
      </c>
      <c r="E22" s="13">
        <f>0</f>
        <v>0</v>
      </c>
      <c r="F22" s="13">
        <f>1</f>
        <v>1</v>
      </c>
      <c r="G22" s="13">
        <f>0</f>
        <v>0</v>
      </c>
      <c r="H22" s="13">
        <f>0</f>
        <v>0</v>
      </c>
      <c r="I22" s="13">
        <f>0</f>
        <v>0</v>
      </c>
      <c r="J22" s="13">
        <f>0</f>
        <v>0</v>
      </c>
      <c r="K22" s="13">
        <f>Supuestos!$F$5*Cinematica!AV4</f>
        <v>1.1723758416270326E-3</v>
      </c>
      <c r="L22" s="13">
        <f>SUMPRODUCT(B22:J22,Reacciones!$B$5:$J$5)-K22</f>
        <v>0</v>
      </c>
    </row>
    <row r="23" spans="1:12">
      <c r="A23" t="s">
        <v>111</v>
      </c>
      <c r="B23" s="13">
        <f>0</f>
        <v>0</v>
      </c>
      <c r="C23" s="13">
        <f>0</f>
        <v>0</v>
      </c>
      <c r="D23" s="13">
        <f>0</f>
        <v>0</v>
      </c>
      <c r="E23" s="13">
        <f>-1</f>
        <v>-1</v>
      </c>
      <c r="F23" s="13">
        <f>0</f>
        <v>0</v>
      </c>
      <c r="G23" s="13">
        <f>1</f>
        <v>1</v>
      </c>
      <c r="H23" s="13">
        <f>0</f>
        <v>0</v>
      </c>
      <c r="I23" s="13">
        <f>0</f>
        <v>0</v>
      </c>
      <c r="J23" s="13">
        <f>0</f>
        <v>0</v>
      </c>
      <c r="K23" s="13">
        <f>Supuestos!$F$5*Cinematica!AW4+Supuestos!$G$5</f>
        <v>4.1754952301371835E-2</v>
      </c>
      <c r="L23" s="13">
        <f>SUMPRODUCT(B23:J23,Reacciones!$B$5:$J$5)-K23</f>
        <v>0</v>
      </c>
    </row>
    <row r="24" spans="1:12">
      <c r="A24" t="s">
        <v>112</v>
      </c>
      <c r="B24" s="13">
        <f>0</f>
        <v>0</v>
      </c>
      <c r="C24" s="13">
        <f>0</f>
        <v>0</v>
      </c>
      <c r="D24" s="13">
        <f>-Cinematica!AU4</f>
        <v>-4.4939201218398561E-2</v>
      </c>
      <c r="E24" s="13">
        <f>Cinematica!AT4</f>
        <v>2.1919584709849886E-2</v>
      </c>
      <c r="F24" s="13">
        <f>-(Cinematica!O4-Cinematica!AU4)</f>
        <v>-4.4939201218398561E-2</v>
      </c>
      <c r="G24" s="13">
        <f>Cinematica!N4-Cinematica!AT4</f>
        <v>2.1919584709849886E-2</v>
      </c>
      <c r="H24" s="13">
        <f>0</f>
        <v>0</v>
      </c>
      <c r="I24" s="13">
        <f>0</f>
        <v>0</v>
      </c>
      <c r="J24" s="13">
        <f>0</f>
        <v>0</v>
      </c>
      <c r="K24" s="13">
        <f>Supuestos!$H$5*Cinematica!AB4</f>
        <v>6.9210470635685764E-6</v>
      </c>
      <c r="L24" s="13">
        <f>SUMPRODUCT(B24:J24,Reacciones!$B$5:$J$5)-K24</f>
        <v>7.9621097041904232E-20</v>
      </c>
    </row>
    <row r="25" spans="1:12">
      <c r="A25" t="s">
        <v>113</v>
      </c>
      <c r="B25" s="13">
        <f>0</f>
        <v>0</v>
      </c>
      <c r="C25" s="13">
        <f>0</f>
        <v>0</v>
      </c>
      <c r="D25" s="13">
        <f>0</f>
        <v>0</v>
      </c>
      <c r="E25" s="13">
        <f>0</f>
        <v>0</v>
      </c>
      <c r="F25" s="13">
        <f>-1</f>
        <v>-1</v>
      </c>
      <c r="G25" s="13">
        <f>0</f>
        <v>0</v>
      </c>
      <c r="H25" s="13">
        <f>1</f>
        <v>1</v>
      </c>
      <c r="I25" s="13">
        <f>0</f>
        <v>0</v>
      </c>
      <c r="J25" s="13">
        <f>0</f>
        <v>0</v>
      </c>
      <c r="K25" s="13">
        <f>Supuestos!$F$6*Cinematica!AZ4</f>
        <v>-4.5348691456409087E-4</v>
      </c>
      <c r="L25" s="13">
        <f>SUMPRODUCT(B25:J25,Reacciones!$B$5:$J$5)-K25</f>
        <v>0</v>
      </c>
    </row>
    <row r="26" spans="1:12">
      <c r="A26" t="s">
        <v>114</v>
      </c>
      <c r="B26" s="13">
        <f>0</f>
        <v>0</v>
      </c>
      <c r="C26" s="13">
        <f>0</f>
        <v>0</v>
      </c>
      <c r="D26" s="13">
        <f>0</f>
        <v>0</v>
      </c>
      <c r="E26" s="13">
        <f>0</f>
        <v>0</v>
      </c>
      <c r="F26" s="13">
        <f>0</f>
        <v>0</v>
      </c>
      <c r="G26" s="13">
        <f>-1</f>
        <v>-1</v>
      </c>
      <c r="H26" s="13">
        <f>0</f>
        <v>0</v>
      </c>
      <c r="I26" s="13">
        <f>1</f>
        <v>1</v>
      </c>
      <c r="J26" s="13">
        <f>0</f>
        <v>0</v>
      </c>
      <c r="K26" s="13">
        <f>Supuestos!$F$6*Cinematica!BA4+Supuestos!$G$6</f>
        <v>0.1111181936228323</v>
      </c>
      <c r="L26" s="13">
        <f>SUMPRODUCT(B26:J26,Reacciones!$B$5:$J$5)-K26</f>
        <v>0</v>
      </c>
    </row>
    <row r="27" spans="1:12">
      <c r="A27" t="s">
        <v>115</v>
      </c>
      <c r="B27" s="13">
        <f>0</f>
        <v>0</v>
      </c>
      <c r="C27" s="13">
        <f>0</f>
        <v>0</v>
      </c>
      <c r="D27" s="13">
        <f>0</f>
        <v>0</v>
      </c>
      <c r="E27" s="13">
        <f>0</f>
        <v>0</v>
      </c>
      <c r="F27" s="13">
        <f>Cinematica!Q4-Cinematica!AY4</f>
        <v>1.1530006898107069E-2</v>
      </c>
      <c r="G27" s="13">
        <f>-(Cinematica!P4-Cinematica!AX4)</f>
        <v>0.12073068102570118</v>
      </c>
      <c r="H27" s="13">
        <f>Cinematica!AY4</f>
        <v>-2.0230750889818471E-3</v>
      </c>
      <c r="I27" s="13">
        <f>-Cinematica!AX4</f>
        <v>-2.1183615536171842E-2</v>
      </c>
      <c r="J27" s="13">
        <f>0</f>
        <v>0</v>
      </c>
      <c r="K27" s="13">
        <f>Supuestos!$H$6*Cinematica!AC4</f>
        <v>-4.0205840196860896E-5</v>
      </c>
      <c r="L27" s="13">
        <f>SUMPRODUCT(B27:J27,Reacciones!$B$5:$J$5)-K27</f>
        <v>-2.7647155398380363E-18</v>
      </c>
    </row>
    <row r="28" spans="1:12" ht="14.5">
      <c r="A28" s="11" t="s">
        <v>116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3"/>
    </row>
    <row r="29" spans="1:12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4.5">
      <c r="A31" s="25" t="str">
        <f>"Posición 3   t="&amp;TEXT(Cinematica!A5,"0.000")&amp;" s   θ_AB="&amp;TEXT(Cinematica!B5,"0.0")&amp;"°"</f>
        <v>Posición 3   t=1.633 s   θ_AB=-226.8°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13"/>
    </row>
    <row r="32" spans="1:12" ht="14.5">
      <c r="A32" s="1" t="s">
        <v>95</v>
      </c>
      <c r="B32" s="12" t="s">
        <v>96</v>
      </c>
      <c r="C32" s="12" t="s">
        <v>97</v>
      </c>
      <c r="D32" s="12" t="s">
        <v>98</v>
      </c>
      <c r="E32" s="12" t="s">
        <v>99</v>
      </c>
      <c r="F32" s="12" t="s">
        <v>100</v>
      </c>
      <c r="G32" s="12" t="s">
        <v>101</v>
      </c>
      <c r="H32" s="12" t="s">
        <v>102</v>
      </c>
      <c r="I32" s="12" t="s">
        <v>103</v>
      </c>
      <c r="J32" s="12" t="s">
        <v>104</v>
      </c>
      <c r="K32" s="12" t="s">
        <v>105</v>
      </c>
      <c r="L32" s="12" t="s">
        <v>106</v>
      </c>
    </row>
    <row r="33" spans="1:12">
      <c r="A33" t="s">
        <v>107</v>
      </c>
      <c r="B33" s="13">
        <f>1</f>
        <v>1</v>
      </c>
      <c r="C33" s="13">
        <f>0</f>
        <v>0</v>
      </c>
      <c r="D33" s="13">
        <f>1</f>
        <v>1</v>
      </c>
      <c r="E33" s="13">
        <f>0</f>
        <v>0</v>
      </c>
      <c r="F33" s="13">
        <f>0</f>
        <v>0</v>
      </c>
      <c r="G33" s="13">
        <f>0</f>
        <v>0</v>
      </c>
      <c r="H33" s="13">
        <f>0</f>
        <v>0</v>
      </c>
      <c r="I33" s="13">
        <f>0</f>
        <v>0</v>
      </c>
      <c r="J33" s="13">
        <f>0</f>
        <v>0</v>
      </c>
      <c r="K33" s="13">
        <f>Supuestos!$F$4*Cinematica!AR5</f>
        <v>3.5419498092964773E-4</v>
      </c>
      <c r="L33" s="13">
        <f>SUMPRODUCT(B33:J33,Reacciones!$B$6:$J$6)-K33</f>
        <v>0</v>
      </c>
    </row>
    <row r="34" spans="1:12">
      <c r="A34" t="s">
        <v>108</v>
      </c>
      <c r="B34" s="13">
        <f>0</f>
        <v>0</v>
      </c>
      <c r="C34" s="13">
        <f>1</f>
        <v>1</v>
      </c>
      <c r="D34" s="13">
        <f>0</f>
        <v>0</v>
      </c>
      <c r="E34" s="13">
        <f>1</f>
        <v>1</v>
      </c>
      <c r="F34" s="13">
        <f>0</f>
        <v>0</v>
      </c>
      <c r="G34" s="13">
        <f>0</f>
        <v>0</v>
      </c>
      <c r="H34" s="13">
        <f>0</f>
        <v>0</v>
      </c>
      <c r="I34" s="13">
        <f>0</f>
        <v>0</v>
      </c>
      <c r="J34" s="13">
        <f>0</f>
        <v>0</v>
      </c>
      <c r="K34" s="13">
        <f>Supuestos!$F$4*Cinematica!AS5+Supuestos!$G$4</f>
        <v>2.7433680154924027E-2</v>
      </c>
      <c r="L34" s="13">
        <f>SUMPRODUCT(B34:J34,Reacciones!$B$6:$J$6)-K34</f>
        <v>0</v>
      </c>
    </row>
    <row r="35" spans="1:12">
      <c r="A35" t="s">
        <v>109</v>
      </c>
      <c r="B35" s="13">
        <f>Cinematica!AQ5</f>
        <v>1.822421568553529E-2</v>
      </c>
      <c r="C35" s="13">
        <f>-Cinematica!AP5</f>
        <v>1.7113677648217217E-2</v>
      </c>
      <c r="D35" s="13">
        <f>-(Cinematica!G5-Cinematica!AQ5)</f>
        <v>-1.822421568553529E-2</v>
      </c>
      <c r="E35" s="13">
        <f>Cinematica!F5-Cinematica!AP5</f>
        <v>-1.7113677648217217E-2</v>
      </c>
      <c r="F35" s="13">
        <f>0</f>
        <v>0</v>
      </c>
      <c r="G35" s="13">
        <f>0</f>
        <v>0</v>
      </c>
      <c r="H35" s="13">
        <f>0</f>
        <v>0</v>
      </c>
      <c r="I35" s="13">
        <f>0</f>
        <v>0</v>
      </c>
      <c r="J35" s="13">
        <f>1</f>
        <v>1</v>
      </c>
      <c r="K35" s="13">
        <f>Supuestos!$H$4*Cinematica!E5</f>
        <v>0</v>
      </c>
      <c r="L35" s="13">
        <f>SUMPRODUCT(B35:J35,Reacciones!$B$6:$J$6)-K35</f>
        <v>6.5052130349130266E-19</v>
      </c>
    </row>
    <row r="36" spans="1:12">
      <c r="A36" t="s">
        <v>110</v>
      </c>
      <c r="B36" s="13">
        <f>0</f>
        <v>0</v>
      </c>
      <c r="C36" s="13">
        <f>0</f>
        <v>0</v>
      </c>
      <c r="D36" s="13">
        <f>-1</f>
        <v>-1</v>
      </c>
      <c r="E36" s="13">
        <f>0</f>
        <v>0</v>
      </c>
      <c r="F36" s="13">
        <f>1</f>
        <v>1</v>
      </c>
      <c r="G36" s="13">
        <f>0</f>
        <v>0</v>
      </c>
      <c r="H36" s="13">
        <f>0</f>
        <v>0</v>
      </c>
      <c r="I36" s="13">
        <f>0</f>
        <v>0</v>
      </c>
      <c r="J36" s="13">
        <f>0</f>
        <v>0</v>
      </c>
      <c r="K36" s="13">
        <f>Supuestos!$F$5*Cinematica!AV5</f>
        <v>6.6752072012063208E-4</v>
      </c>
      <c r="L36" s="13">
        <f>SUMPRODUCT(B36:J36,Reacciones!$B$6:$J$6)-K36</f>
        <v>0</v>
      </c>
    </row>
    <row r="37" spans="1:12">
      <c r="A37" t="s">
        <v>111</v>
      </c>
      <c r="B37" s="13">
        <f>0</f>
        <v>0</v>
      </c>
      <c r="C37" s="13">
        <f>0</f>
        <v>0</v>
      </c>
      <c r="D37" s="13">
        <f>0</f>
        <v>0</v>
      </c>
      <c r="E37" s="13">
        <f>-1</f>
        <v>-1</v>
      </c>
      <c r="F37" s="13">
        <f>0</f>
        <v>0</v>
      </c>
      <c r="G37" s="13">
        <f>1</f>
        <v>1</v>
      </c>
      <c r="H37" s="13">
        <f>0</f>
        <v>0</v>
      </c>
      <c r="I37" s="13">
        <f>0</f>
        <v>0</v>
      </c>
      <c r="J37" s="13">
        <f>0</f>
        <v>0</v>
      </c>
      <c r="K37" s="13">
        <f>Supuestos!$F$5*Cinematica!AW5+Supuestos!$G$5</f>
        <v>4.06943130006387E-2</v>
      </c>
      <c r="L37" s="13">
        <f>SUMPRODUCT(B37:J37,Reacciones!$B$6:$J$6)-K37</f>
        <v>0</v>
      </c>
    </row>
    <row r="38" spans="1:12">
      <c r="A38" t="s">
        <v>112</v>
      </c>
      <c r="B38" s="13">
        <f>0</f>
        <v>0</v>
      </c>
      <c r="C38" s="13">
        <f>0</f>
        <v>0</v>
      </c>
      <c r="D38" s="13">
        <f>-Cinematica!AU5</f>
        <v>-4.6248202172206758E-2</v>
      </c>
      <c r="E38" s="13">
        <f>Cinematica!AT5</f>
        <v>1.9002731273127307E-2</v>
      </c>
      <c r="F38" s="13">
        <f>-(Cinematica!O5-Cinematica!AU5)</f>
        <v>-4.6248202172206758E-2</v>
      </c>
      <c r="G38" s="13">
        <f>Cinematica!N5-Cinematica!AT5</f>
        <v>1.9002731273127307E-2</v>
      </c>
      <c r="H38" s="13">
        <f>0</f>
        <v>0</v>
      </c>
      <c r="I38" s="13">
        <f>0</f>
        <v>0</v>
      </c>
      <c r="J38" s="13">
        <f>0</f>
        <v>0</v>
      </c>
      <c r="K38" s="13">
        <f>Supuestos!$H$5*Cinematica!AB5</f>
        <v>6.7843277385324653E-6</v>
      </c>
      <c r="L38" s="13">
        <f>SUMPRODUCT(B38:J38,Reacciones!$B$6:$J$6)-K38</f>
        <v>4.2944570425793027E-19</v>
      </c>
    </row>
    <row r="39" spans="1:12">
      <c r="A39" t="s">
        <v>113</v>
      </c>
      <c r="B39" s="13">
        <f>0</f>
        <v>0</v>
      </c>
      <c r="C39" s="13">
        <f>0</f>
        <v>0</v>
      </c>
      <c r="D39" s="13">
        <f>0</f>
        <v>0</v>
      </c>
      <c r="E39" s="13">
        <f>0</f>
        <v>0</v>
      </c>
      <c r="F39" s="13">
        <f>-1</f>
        <v>-1</v>
      </c>
      <c r="G39" s="13">
        <f>0</f>
        <v>0</v>
      </c>
      <c r="H39" s="13">
        <f>1</f>
        <v>1</v>
      </c>
      <c r="I39" s="13">
        <f>0</f>
        <v>0</v>
      </c>
      <c r="J39" s="13">
        <f>0</f>
        <v>0</v>
      </c>
      <c r="K39" s="13">
        <f>Supuestos!$F$6*Cinematica!AZ5</f>
        <v>-1.5460998042094381E-4</v>
      </c>
      <c r="L39" s="13">
        <f>SUMPRODUCT(B39:J39,Reacciones!$B$6:$J$6)-K39</f>
        <v>5.9631119486702744E-19</v>
      </c>
    </row>
    <row r="40" spans="1:12">
      <c r="A40" t="s">
        <v>114</v>
      </c>
      <c r="B40" s="13">
        <f>0</f>
        <v>0</v>
      </c>
      <c r="C40" s="13">
        <f>0</f>
        <v>0</v>
      </c>
      <c r="D40" s="13">
        <f>0</f>
        <v>0</v>
      </c>
      <c r="E40" s="13">
        <f>0</f>
        <v>0</v>
      </c>
      <c r="F40" s="13">
        <f>0</f>
        <v>0</v>
      </c>
      <c r="G40" s="13">
        <f>-1</f>
        <v>-1</v>
      </c>
      <c r="H40" s="13">
        <f>0</f>
        <v>0</v>
      </c>
      <c r="I40" s="13">
        <f>1</f>
        <v>1</v>
      </c>
      <c r="J40" s="13">
        <f>0</f>
        <v>0</v>
      </c>
      <c r="K40" s="13">
        <f>Supuestos!$F$6*Cinematica!BA5+Supuestos!$G$6</f>
        <v>0.11176120279421778</v>
      </c>
      <c r="L40" s="13">
        <f>SUMPRODUCT(B40:J40,Reacciones!$B$6:$J$6)-K40</f>
        <v>0</v>
      </c>
    </row>
    <row r="41" spans="1:12">
      <c r="A41" t="s">
        <v>115</v>
      </c>
      <c r="B41" s="13">
        <f>0</f>
        <v>0</v>
      </c>
      <c r="C41" s="13">
        <f>0</f>
        <v>0</v>
      </c>
      <c r="D41" s="13">
        <f>0</f>
        <v>0</v>
      </c>
      <c r="E41" s="13">
        <f>0</f>
        <v>0</v>
      </c>
      <c r="F41" s="13">
        <f>Cinematica!Q5-Cinematica!AY5</f>
        <v>5.3308424755739117E-2</v>
      </c>
      <c r="G41" s="13">
        <f>-(Cinematica!P5-Cinematica!AX5)</f>
        <v>0.10893599152741809</v>
      </c>
      <c r="H41" s="13">
        <f>Cinematica!AY5</f>
        <v>-9.3535890402550153E-3</v>
      </c>
      <c r="I41" s="13">
        <f>-Cinematica!AX5</f>
        <v>-1.9114098777238266E-2</v>
      </c>
      <c r="J41" s="13">
        <f>0</f>
        <v>0</v>
      </c>
      <c r="K41" s="13">
        <f>Supuestos!$H$6*Cinematica!AC5</f>
        <v>9.5155035010126261E-5</v>
      </c>
      <c r="L41" s="13">
        <f>SUMPRODUCT(B41:J41,Reacciones!$B$6:$J$6)-K41</f>
        <v>-4.0657581468206416E-19</v>
      </c>
    </row>
    <row r="42" spans="1:12" ht="14.5">
      <c r="A42" s="11" t="s">
        <v>116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3"/>
    </row>
    <row r="43" spans="1:12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14.5">
      <c r="A45" s="25" t="str">
        <f>"Posición 4   t="&amp;TEXT(Cinematica!A6,"0.000")&amp;" s   θ_AB="&amp;TEXT(Cinematica!B6,"0.0")&amp;"°"</f>
        <v>Posición 4   t=1.766 s   θ_AB=-246.9°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13"/>
    </row>
    <row r="46" spans="1:12" ht="14.5">
      <c r="A46" s="1" t="s">
        <v>95</v>
      </c>
      <c r="B46" s="12" t="s">
        <v>96</v>
      </c>
      <c r="C46" s="12" t="s">
        <v>97</v>
      </c>
      <c r="D46" s="12" t="s">
        <v>98</v>
      </c>
      <c r="E46" s="12" t="s">
        <v>99</v>
      </c>
      <c r="F46" s="12" t="s">
        <v>100</v>
      </c>
      <c r="G46" s="12" t="s">
        <v>101</v>
      </c>
      <c r="H46" s="12" t="s">
        <v>102</v>
      </c>
      <c r="I46" s="12" t="s">
        <v>103</v>
      </c>
      <c r="J46" s="12" t="s">
        <v>104</v>
      </c>
      <c r="K46" s="12" t="s">
        <v>105</v>
      </c>
      <c r="L46" s="12" t="s">
        <v>106</v>
      </c>
    </row>
    <row r="47" spans="1:12">
      <c r="A47" t="s">
        <v>107</v>
      </c>
      <c r="B47" s="13">
        <f>1</f>
        <v>1</v>
      </c>
      <c r="C47" s="13">
        <f>0</f>
        <v>0</v>
      </c>
      <c r="D47" s="13">
        <f>1</f>
        <v>1</v>
      </c>
      <c r="E47" s="13">
        <f>0</f>
        <v>0</v>
      </c>
      <c r="F47" s="13">
        <f>0</f>
        <v>0</v>
      </c>
      <c r="G47" s="13">
        <f>0</f>
        <v>0</v>
      </c>
      <c r="H47" s="13">
        <f>0</f>
        <v>0</v>
      </c>
      <c r="I47" s="13">
        <f>0</f>
        <v>0</v>
      </c>
      <c r="J47" s="13">
        <f>0</f>
        <v>0</v>
      </c>
      <c r="K47" s="13">
        <f>Supuestos!$F$4*Cinematica!AR6</f>
        <v>2.0300113217901431E-4</v>
      </c>
      <c r="L47" s="13">
        <f>SUMPRODUCT(B47:J47,Reacciones!$B$7:$J$7)-K47</f>
        <v>3.5236570605778894E-19</v>
      </c>
    </row>
    <row r="48" spans="1:12">
      <c r="A48" t="s">
        <v>108</v>
      </c>
      <c r="B48" s="13">
        <f>0</f>
        <v>0</v>
      </c>
      <c r="C48" s="13">
        <f>1</f>
        <v>1</v>
      </c>
      <c r="D48" s="13">
        <f>0</f>
        <v>0</v>
      </c>
      <c r="E48" s="13">
        <f>1</f>
        <v>1</v>
      </c>
      <c r="F48" s="13">
        <f>0</f>
        <v>0</v>
      </c>
      <c r="G48" s="13">
        <f>0</f>
        <v>0</v>
      </c>
      <c r="H48" s="13">
        <f>0</f>
        <v>0</v>
      </c>
      <c r="I48" s="13">
        <f>0</f>
        <v>0</v>
      </c>
      <c r="J48" s="13">
        <f>0</f>
        <v>0</v>
      </c>
      <c r="K48" s="13">
        <f>Supuestos!$F$4*Cinematica!AS6+Supuestos!$G$4</f>
        <v>2.7334930006060267E-2</v>
      </c>
      <c r="L48" s="13">
        <f>SUMPRODUCT(B48:J48,Reacciones!$B$7:$J$7)-K48</f>
        <v>0</v>
      </c>
    </row>
    <row r="49" spans="1:12">
      <c r="A49" t="s">
        <v>109</v>
      </c>
      <c r="B49" s="13">
        <f>Cinematica!AQ6</f>
        <v>2.2995537433043445E-2</v>
      </c>
      <c r="C49" s="13">
        <f>-Cinematica!AP6</f>
        <v>9.8084279150890373E-3</v>
      </c>
      <c r="D49" s="13">
        <f>-(Cinematica!G6-Cinematica!AQ6)</f>
        <v>-2.2995537433043445E-2</v>
      </c>
      <c r="E49" s="13">
        <f>Cinematica!F6-Cinematica!AP6</f>
        <v>-9.8084279150890373E-3</v>
      </c>
      <c r="F49" s="13">
        <f>0</f>
        <v>0</v>
      </c>
      <c r="G49" s="13">
        <f>0</f>
        <v>0</v>
      </c>
      <c r="H49" s="13">
        <f>0</f>
        <v>0</v>
      </c>
      <c r="I49" s="13">
        <f>0</f>
        <v>0</v>
      </c>
      <c r="J49" s="13">
        <f>1</f>
        <v>1</v>
      </c>
      <c r="K49" s="13">
        <f>Supuestos!$H$4*Cinematica!E6</f>
        <v>0</v>
      </c>
      <c r="L49" s="13">
        <f>SUMPRODUCT(B49:J49,Reacciones!$B$7:$J$7)-K49</f>
        <v>6.5052130349130266E-19</v>
      </c>
    </row>
    <row r="50" spans="1:12">
      <c r="A50" t="s">
        <v>110</v>
      </c>
      <c r="B50" s="13">
        <f>0</f>
        <v>0</v>
      </c>
      <c r="C50" s="13">
        <f>0</f>
        <v>0</v>
      </c>
      <c r="D50" s="13">
        <f>-1</f>
        <v>-1</v>
      </c>
      <c r="E50" s="13">
        <f>0</f>
        <v>0</v>
      </c>
      <c r="F50" s="13">
        <f>1</f>
        <v>1</v>
      </c>
      <c r="G50" s="13">
        <f>0</f>
        <v>0</v>
      </c>
      <c r="H50" s="13">
        <f>0</f>
        <v>0</v>
      </c>
      <c r="I50" s="13">
        <f>0</f>
        <v>0</v>
      </c>
      <c r="J50" s="13">
        <f>0</f>
        <v>0</v>
      </c>
      <c r="K50" s="13">
        <f>Supuestos!$F$5*Cinematica!AV6</f>
        <v>6.7659739162023076E-5</v>
      </c>
      <c r="L50" s="13">
        <f>SUMPRODUCT(B50:J50,Reacciones!$B$7:$J$7)-K50</f>
        <v>-3.9302328752599536E-19</v>
      </c>
    </row>
    <row r="51" spans="1:12">
      <c r="A51" t="s">
        <v>111</v>
      </c>
      <c r="B51" s="13">
        <f>0</f>
        <v>0</v>
      </c>
      <c r="C51" s="13">
        <f>0</f>
        <v>0</v>
      </c>
      <c r="D51" s="13">
        <f>0</f>
        <v>0</v>
      </c>
      <c r="E51" s="13">
        <f>-1</f>
        <v>-1</v>
      </c>
      <c r="F51" s="13">
        <f>0</f>
        <v>0</v>
      </c>
      <c r="G51" s="13">
        <f>1</f>
        <v>1</v>
      </c>
      <c r="H51" s="13">
        <f>0</f>
        <v>0</v>
      </c>
      <c r="I51" s="13">
        <f>0</f>
        <v>0</v>
      </c>
      <c r="J51" s="13">
        <f>0</f>
        <v>0</v>
      </c>
      <c r="K51" s="13">
        <f>Supuestos!$F$5*Cinematica!AW6+Supuestos!$G$5</f>
        <v>4.0332821150287898E-2</v>
      </c>
      <c r="L51" s="13">
        <f>SUMPRODUCT(B51:J51,Reacciones!$B$7:$J$7)-K51</f>
        <v>0</v>
      </c>
    </row>
    <row r="52" spans="1:12">
      <c r="A52" t="s">
        <v>112</v>
      </c>
      <c r="B52" s="13">
        <f>0</f>
        <v>0</v>
      </c>
      <c r="C52" s="13">
        <f>0</f>
        <v>0</v>
      </c>
      <c r="D52" s="13">
        <f>-Cinematica!AU6</f>
        <v>-4.7613958808736173E-2</v>
      </c>
      <c r="E52" s="13">
        <f>Cinematica!AT6</f>
        <v>1.5261419546030946E-2</v>
      </c>
      <c r="F52" s="13">
        <f>-(Cinematica!O6-Cinematica!AU6)</f>
        <v>-4.7613958808736173E-2</v>
      </c>
      <c r="G52" s="13">
        <f>Cinematica!N6-Cinematica!AT6</f>
        <v>1.5261419546030946E-2</v>
      </c>
      <c r="H52" s="13">
        <f>0</f>
        <v>0</v>
      </c>
      <c r="I52" s="13">
        <f>0</f>
        <v>0</v>
      </c>
      <c r="J52" s="13">
        <f>0</f>
        <v>0</v>
      </c>
      <c r="K52" s="13">
        <f>Supuestos!$H$5*Cinematica!AB6</f>
        <v>8.8173021831339594E-6</v>
      </c>
      <c r="L52" s="13">
        <f>SUMPRODUCT(B52:J52,Reacciones!$B$7:$J$7)-K52</f>
        <v>2.8968526796097072E-19</v>
      </c>
    </row>
    <row r="53" spans="1:12">
      <c r="A53" t="s">
        <v>113</v>
      </c>
      <c r="B53" s="13">
        <f>0</f>
        <v>0</v>
      </c>
      <c r="C53" s="13">
        <f>0</f>
        <v>0</v>
      </c>
      <c r="D53" s="13">
        <f>0</f>
        <v>0</v>
      </c>
      <c r="E53" s="13">
        <f>0</f>
        <v>0</v>
      </c>
      <c r="F53" s="13">
        <f>-1</f>
        <v>-1</v>
      </c>
      <c r="G53" s="13">
        <f>0</f>
        <v>0</v>
      </c>
      <c r="H53" s="13">
        <f>1</f>
        <v>1</v>
      </c>
      <c r="I53" s="13">
        <f>0</f>
        <v>0</v>
      </c>
      <c r="J53" s="13">
        <f>0</f>
        <v>0</v>
      </c>
      <c r="K53" s="13">
        <f>Supuestos!$F$6*Cinematica!AZ6</f>
        <v>2.6879983412193522E-4</v>
      </c>
      <c r="L53" s="13">
        <f>SUMPRODUCT(B53:J53,Reacciones!$B$7:$J$7)-K53</f>
        <v>4.87890977618477E-19</v>
      </c>
    </row>
    <row r="54" spans="1:12">
      <c r="A54" t="s">
        <v>114</v>
      </c>
      <c r="B54" s="13">
        <f>0</f>
        <v>0</v>
      </c>
      <c r="C54" s="13">
        <f>0</f>
        <v>0</v>
      </c>
      <c r="D54" s="13">
        <f>0</f>
        <v>0</v>
      </c>
      <c r="E54" s="13">
        <f>0</f>
        <v>0</v>
      </c>
      <c r="F54" s="13">
        <f>0</f>
        <v>0</v>
      </c>
      <c r="G54" s="13">
        <f>-1</f>
        <v>-1</v>
      </c>
      <c r="H54" s="13">
        <f>0</f>
        <v>0</v>
      </c>
      <c r="I54" s="13">
        <f>1</f>
        <v>1</v>
      </c>
      <c r="J54" s="13">
        <f>0</f>
        <v>0</v>
      </c>
      <c r="K54" s="13">
        <f>Supuestos!$F$6*Cinematica!BA6+Supuestos!$G$6</f>
        <v>0.11200335969148359</v>
      </c>
      <c r="L54" s="13">
        <f>SUMPRODUCT(B54:J54,Reacciones!$B$7:$J$7)-K54</f>
        <v>0</v>
      </c>
    </row>
    <row r="55" spans="1:12">
      <c r="A55" t="s">
        <v>115</v>
      </c>
      <c r="B55" s="13">
        <f>0</f>
        <v>0</v>
      </c>
      <c r="C55" s="13">
        <f>0</f>
        <v>0</v>
      </c>
      <c r="D55" s="13">
        <f>0</f>
        <v>0</v>
      </c>
      <c r="E55" s="13">
        <f>0</f>
        <v>0</v>
      </c>
      <c r="F55" s="13">
        <f>Cinematica!Q6-Cinematica!AY6</f>
        <v>6.8194522084060641E-2</v>
      </c>
      <c r="G55" s="13">
        <f>-(Cinematica!P6-Cinematica!AX6)</f>
        <v>0.10029130349998731</v>
      </c>
      <c r="H55" s="13">
        <f>Cinematica!AY6</f>
        <v>-1.1965529600501406E-2</v>
      </c>
      <c r="I55" s="13">
        <f>-Cinematica!AX6</f>
        <v>-1.7597286761871125E-2</v>
      </c>
      <c r="J55" s="13">
        <f>0</f>
        <v>0</v>
      </c>
      <c r="K55" s="13">
        <f>Supuestos!$H$6*Cinematica!AC6</f>
        <v>1.8679677130590603E-4</v>
      </c>
      <c r="L55" s="13">
        <f>SUMPRODUCT(B55:J55,Reacciones!$B$7:$J$7)-K55</f>
        <v>-6.7762635780344027E-19</v>
      </c>
    </row>
    <row r="56" spans="1:12" ht="14.5">
      <c r="A56" s="11" t="s">
        <v>116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3"/>
    </row>
    <row r="57" spans="1:12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 ht="14.5">
      <c r="A59" s="25" t="str">
        <f>"Posición 5   t="&amp;TEXT(Cinematica!A7,"0.000")&amp;" s   θ_AB="&amp;TEXT(Cinematica!B7,"0.0")&amp;"°"</f>
        <v>Posición 5   t=1.899 s   θ_AB=-270.4°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3"/>
    </row>
    <row r="60" spans="1:12" ht="14.5">
      <c r="A60" s="1" t="s">
        <v>95</v>
      </c>
      <c r="B60" s="12" t="s">
        <v>96</v>
      </c>
      <c r="C60" s="12" t="s">
        <v>97</v>
      </c>
      <c r="D60" s="12" t="s">
        <v>98</v>
      </c>
      <c r="E60" s="12" t="s">
        <v>99</v>
      </c>
      <c r="F60" s="12" t="s">
        <v>100</v>
      </c>
      <c r="G60" s="12" t="s">
        <v>101</v>
      </c>
      <c r="H60" s="12" t="s">
        <v>102</v>
      </c>
      <c r="I60" s="12" t="s">
        <v>103</v>
      </c>
      <c r="J60" s="12" t="s">
        <v>104</v>
      </c>
      <c r="K60" s="12" t="s">
        <v>105</v>
      </c>
      <c r="L60" s="12" t="s">
        <v>106</v>
      </c>
    </row>
    <row r="61" spans="1:12">
      <c r="A61" t="s">
        <v>107</v>
      </c>
      <c r="B61" s="13">
        <f>1</f>
        <v>1</v>
      </c>
      <c r="C61" s="13">
        <f>0</f>
        <v>0</v>
      </c>
      <c r="D61" s="13">
        <f>1</f>
        <v>1</v>
      </c>
      <c r="E61" s="13">
        <f>0</f>
        <v>0</v>
      </c>
      <c r="F61" s="13">
        <f>0</f>
        <v>0</v>
      </c>
      <c r="G61" s="13">
        <f>0</f>
        <v>0</v>
      </c>
      <c r="H61" s="13">
        <f>0</f>
        <v>0</v>
      </c>
      <c r="I61" s="13">
        <f>0</f>
        <v>0</v>
      </c>
      <c r="J61" s="13">
        <f>0</f>
        <v>0</v>
      </c>
      <c r="K61" s="13">
        <f>Supuestos!$F$4*Cinematica!AR7</f>
        <v>-3.6122092061824759E-6</v>
      </c>
      <c r="L61" s="13">
        <f>SUMPRODUCT(B61:J61,Reacciones!$B$8:$J$8)-K61</f>
        <v>9.0632525356210136E-20</v>
      </c>
    </row>
    <row r="62" spans="1:12">
      <c r="A62" t="s">
        <v>108</v>
      </c>
      <c r="B62" s="13">
        <f>0</f>
        <v>0</v>
      </c>
      <c r="C62" s="13">
        <f>1</f>
        <v>1</v>
      </c>
      <c r="D62" s="13">
        <f>0</f>
        <v>0</v>
      </c>
      <c r="E62" s="13">
        <f>1</f>
        <v>1</v>
      </c>
      <c r="F62" s="13">
        <f>0</f>
        <v>0</v>
      </c>
      <c r="G62" s="13">
        <f>0</f>
        <v>0</v>
      </c>
      <c r="H62" s="13">
        <f>0</f>
        <v>0</v>
      </c>
      <c r="I62" s="13">
        <f>0</f>
        <v>0</v>
      </c>
      <c r="J62" s="13">
        <f>0</f>
        <v>0</v>
      </c>
      <c r="K62" s="13">
        <f>Supuestos!$F$4*Cinematica!AS7+Supuestos!$G$4</f>
        <v>2.72934570504384E-2</v>
      </c>
      <c r="L62" s="13">
        <f>SUMPRODUCT(B62:J62,Reacciones!$B$8:$J$8)-K62</f>
        <v>0</v>
      </c>
    </row>
    <row r="63" spans="1:12">
      <c r="A63" t="s">
        <v>109</v>
      </c>
      <c r="B63" s="13">
        <f>Cinematica!AQ7</f>
        <v>2.4999390767634869E-2</v>
      </c>
      <c r="C63" s="13">
        <f>-Cinematica!AP7</f>
        <v>-1.7453150744902335E-4</v>
      </c>
      <c r="D63" s="13">
        <f>-(Cinematica!G7-Cinematica!AQ7)</f>
        <v>-2.4999390767634869E-2</v>
      </c>
      <c r="E63" s="13">
        <f>Cinematica!F7-Cinematica!AP7</f>
        <v>1.7453150744902335E-4</v>
      </c>
      <c r="F63" s="13">
        <f>0</f>
        <v>0</v>
      </c>
      <c r="G63" s="13">
        <f>0</f>
        <v>0</v>
      </c>
      <c r="H63" s="13">
        <f>0</f>
        <v>0</v>
      </c>
      <c r="I63" s="13">
        <f>0</f>
        <v>0</v>
      </c>
      <c r="J63" s="13">
        <f>1</f>
        <v>1</v>
      </c>
      <c r="K63" s="13">
        <f>Supuestos!$H$4*Cinematica!E7</f>
        <v>0</v>
      </c>
      <c r="L63" s="13">
        <f>SUMPRODUCT(B63:J63,Reacciones!$B$8:$J$8)-K63</f>
        <v>2.0328790734103208E-19</v>
      </c>
    </row>
    <row r="64" spans="1:12">
      <c r="A64" t="s">
        <v>110</v>
      </c>
      <c r="B64" s="13">
        <f>0</f>
        <v>0</v>
      </c>
      <c r="C64" s="13">
        <f>0</f>
        <v>0</v>
      </c>
      <c r="D64" s="13">
        <f>-1</f>
        <v>-1</v>
      </c>
      <c r="E64" s="13">
        <f>0</f>
        <v>0</v>
      </c>
      <c r="F64" s="13">
        <f>1</f>
        <v>1</v>
      </c>
      <c r="G64" s="13">
        <f>0</f>
        <v>0</v>
      </c>
      <c r="H64" s="13">
        <f>0</f>
        <v>0</v>
      </c>
      <c r="I64" s="13">
        <f>0</f>
        <v>0</v>
      </c>
      <c r="J64" s="13">
        <f>0</f>
        <v>0</v>
      </c>
      <c r="K64" s="13">
        <f>Supuestos!$F$5*Cinematica!AV7</f>
        <v>-7.8726961247598318E-4</v>
      </c>
      <c r="L64" s="13">
        <f>SUMPRODUCT(B64:J64,Reacciones!$B$8:$J$8)-K64</f>
        <v>0</v>
      </c>
    </row>
    <row r="65" spans="1:12">
      <c r="A65" t="s">
        <v>111</v>
      </c>
      <c r="B65" s="13">
        <f>0</f>
        <v>0</v>
      </c>
      <c r="C65" s="13">
        <f>0</f>
        <v>0</v>
      </c>
      <c r="D65" s="13">
        <f>0</f>
        <v>0</v>
      </c>
      <c r="E65" s="13">
        <f>-1</f>
        <v>-1</v>
      </c>
      <c r="F65" s="13">
        <f>0</f>
        <v>0</v>
      </c>
      <c r="G65" s="13">
        <f>1</f>
        <v>1</v>
      </c>
      <c r="H65" s="13">
        <f>0</f>
        <v>0</v>
      </c>
      <c r="I65" s="13">
        <f>0</f>
        <v>0</v>
      </c>
      <c r="J65" s="13">
        <f>0</f>
        <v>0</v>
      </c>
      <c r="K65" s="13">
        <f>Supuestos!$F$5*Cinematica!AW7+Supuestos!$G$5</f>
        <v>3.9974343974417757E-2</v>
      </c>
      <c r="L65" s="13">
        <f>SUMPRODUCT(B65:J65,Reacciones!$B$8:$J$8)-K65</f>
        <v>0</v>
      </c>
    </row>
    <row r="66" spans="1:12">
      <c r="A66" t="s">
        <v>112</v>
      </c>
      <c r="B66" s="13">
        <f>0</f>
        <v>0</v>
      </c>
      <c r="C66" s="13">
        <f>0</f>
        <v>0</v>
      </c>
      <c r="D66" s="13">
        <f>-Cinematica!AU7</f>
        <v>-4.9342821240076259E-2</v>
      </c>
      <c r="E66" s="13">
        <f>Cinematica!AT7</f>
        <v>8.0799747567600177E-3</v>
      </c>
      <c r="F66" s="13">
        <f>-(Cinematica!O7-Cinematica!AU7)</f>
        <v>-4.9342821240076259E-2</v>
      </c>
      <c r="G66" s="13">
        <f>Cinematica!N7-Cinematica!AT7</f>
        <v>8.0799747567600177E-3</v>
      </c>
      <c r="H66" s="13">
        <f>0</f>
        <v>0</v>
      </c>
      <c r="I66" s="13">
        <f>0</f>
        <v>0</v>
      </c>
      <c r="J66" s="13">
        <f>0</f>
        <v>0</v>
      </c>
      <c r="K66" s="13">
        <f>Supuestos!$H$5*Cinematica!AB7</f>
        <v>1.225943877232936E-5</v>
      </c>
      <c r="L66" s="13">
        <f>SUMPRODUCT(B66:J66,Reacciones!$B$8:$J$8)-K66</f>
        <v>-3.8963515573697816E-20</v>
      </c>
    </row>
    <row r="67" spans="1:12">
      <c r="A67" t="s">
        <v>113</v>
      </c>
      <c r="B67" s="13">
        <f>0</f>
        <v>0</v>
      </c>
      <c r="C67" s="13">
        <f>0</f>
        <v>0</v>
      </c>
      <c r="D67" s="13">
        <f>0</f>
        <v>0</v>
      </c>
      <c r="E67" s="13">
        <f>0</f>
        <v>0</v>
      </c>
      <c r="F67" s="13">
        <f>-1</f>
        <v>-1</v>
      </c>
      <c r="G67" s="13">
        <f>0</f>
        <v>0</v>
      </c>
      <c r="H67" s="13">
        <f>1</f>
        <v>1</v>
      </c>
      <c r="I67" s="13">
        <f>0</f>
        <v>0</v>
      </c>
      <c r="J67" s="13">
        <f>0</f>
        <v>0</v>
      </c>
      <c r="K67" s="13">
        <f>Supuestos!$F$6*Cinematica!AZ7</f>
        <v>8.8734910056680397E-4</v>
      </c>
      <c r="L67" s="13">
        <f>SUMPRODUCT(B67:J67,Reacciones!$B$8:$J$8)-K67</f>
        <v>0</v>
      </c>
    </row>
    <row r="68" spans="1:12">
      <c r="A68" t="s">
        <v>114</v>
      </c>
      <c r="B68" s="13">
        <f>0</f>
        <v>0</v>
      </c>
      <c r="C68" s="13">
        <f>0</f>
        <v>0</v>
      </c>
      <c r="D68" s="13">
        <f>0</f>
        <v>0</v>
      </c>
      <c r="E68" s="13">
        <f>0</f>
        <v>0</v>
      </c>
      <c r="F68" s="13">
        <f>0</f>
        <v>0</v>
      </c>
      <c r="G68" s="13">
        <f>-1</f>
        <v>-1</v>
      </c>
      <c r="H68" s="13">
        <f>0</f>
        <v>0</v>
      </c>
      <c r="I68" s="13">
        <f>1</f>
        <v>1</v>
      </c>
      <c r="J68" s="13">
        <f>0</f>
        <v>0</v>
      </c>
      <c r="K68" s="13">
        <f>Supuestos!$F$6*Cinematica!BA7+Supuestos!$G$6</f>
        <v>0.11233960382796715</v>
      </c>
      <c r="L68" s="13">
        <f>SUMPRODUCT(B68:J68,Reacciones!$B$8:$J$8)-K68</f>
        <v>0</v>
      </c>
    </row>
    <row r="69" spans="1:12">
      <c r="A69" t="s">
        <v>115</v>
      </c>
      <c r="B69" s="13">
        <f>0</f>
        <v>0</v>
      </c>
      <c r="C69" s="13">
        <f>0</f>
        <v>0</v>
      </c>
      <c r="D69" s="13">
        <f>0</f>
        <v>0</v>
      </c>
      <c r="E69" s="13">
        <f>0</f>
        <v>0</v>
      </c>
      <c r="F69" s="13">
        <f>Cinematica!Q7-Cinematica!AY7</f>
        <v>7.7248597445904121E-2</v>
      </c>
      <c r="G69" s="13">
        <f>-(Cinematica!P7-Cinematica!AX7)</f>
        <v>9.3495949605534534E-2</v>
      </c>
      <c r="H69" s="13">
        <f>Cinematica!AY7</f>
        <v>-1.3554173430481856E-2</v>
      </c>
      <c r="I69" s="13">
        <f>-Cinematica!AX7</f>
        <v>-1.6404962133952629E-2</v>
      </c>
      <c r="J69" s="13">
        <f>0</f>
        <v>0</v>
      </c>
      <c r="K69" s="13">
        <f>Supuestos!$H$6*Cinematica!AC7</f>
        <v>3.3792139871522585E-4</v>
      </c>
      <c r="L69" s="13">
        <f>SUMPRODUCT(B69:J69,Reacciones!$B$8:$J$8)-K69</f>
        <v>-1.6805133673525319E-18</v>
      </c>
    </row>
    <row r="70" spans="1:12" ht="14.5">
      <c r="A70" s="11" t="s">
        <v>116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3"/>
    </row>
    <row r="71" spans="1:12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1:12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spans="1:12" ht="14.5">
      <c r="A73" s="25" t="str">
        <f>"Posición 6   t="&amp;TEXT(Cinematica!A8,"0.000")&amp;" s   θ_AB="&amp;TEXT(Cinematica!B8,"0.0")&amp;"°"</f>
        <v>Posición 6   t=2.099 s   θ_AB=-316.4°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13"/>
    </row>
    <row r="74" spans="1:12" ht="14.5">
      <c r="A74" s="1" t="s">
        <v>95</v>
      </c>
      <c r="B74" s="12" t="s">
        <v>96</v>
      </c>
      <c r="C74" s="12" t="s">
        <v>97</v>
      </c>
      <c r="D74" s="12" t="s">
        <v>98</v>
      </c>
      <c r="E74" s="12" t="s">
        <v>99</v>
      </c>
      <c r="F74" s="12" t="s">
        <v>100</v>
      </c>
      <c r="G74" s="12" t="s">
        <v>101</v>
      </c>
      <c r="H74" s="12" t="s">
        <v>102</v>
      </c>
      <c r="I74" s="12" t="s">
        <v>103</v>
      </c>
      <c r="J74" s="12" t="s">
        <v>104</v>
      </c>
      <c r="K74" s="12" t="s">
        <v>105</v>
      </c>
      <c r="L74" s="12" t="s">
        <v>106</v>
      </c>
    </row>
    <row r="75" spans="1:12">
      <c r="A75" t="s">
        <v>107</v>
      </c>
      <c r="B75" s="13">
        <f>1</f>
        <v>1</v>
      </c>
      <c r="C75" s="13">
        <f>0</f>
        <v>0</v>
      </c>
      <c r="D75" s="13">
        <f>1</f>
        <v>1</v>
      </c>
      <c r="E75" s="13">
        <f>0</f>
        <v>0</v>
      </c>
      <c r="F75" s="13">
        <f>0</f>
        <v>0</v>
      </c>
      <c r="G75" s="13">
        <f>0</f>
        <v>0</v>
      </c>
      <c r="H75" s="13">
        <f>0</f>
        <v>0</v>
      </c>
      <c r="I75" s="13">
        <f>0</f>
        <v>0</v>
      </c>
      <c r="J75" s="13">
        <f>0</f>
        <v>0</v>
      </c>
      <c r="K75" s="13">
        <f>Supuestos!$F$4*Cinematica!AR8</f>
        <v>-3.7469742612329627E-4</v>
      </c>
      <c r="L75" s="13">
        <f>SUMPRODUCT(B75:J75,Reacciones!$B$9:$J$9)-K75</f>
        <v>0</v>
      </c>
    </row>
    <row r="76" spans="1:12">
      <c r="A76" t="s">
        <v>108</v>
      </c>
      <c r="B76" s="13">
        <f>0</f>
        <v>0</v>
      </c>
      <c r="C76" s="13">
        <f>1</f>
        <v>1</v>
      </c>
      <c r="D76" s="13">
        <f>0</f>
        <v>0</v>
      </c>
      <c r="E76" s="13">
        <f>1</f>
        <v>1</v>
      </c>
      <c r="F76" s="13">
        <f>0</f>
        <v>0</v>
      </c>
      <c r="G76" s="13">
        <f>0</f>
        <v>0</v>
      </c>
      <c r="H76" s="13">
        <f>0</f>
        <v>0</v>
      </c>
      <c r="I76" s="13">
        <f>0</f>
        <v>0</v>
      </c>
      <c r="J76" s="13">
        <f>0</f>
        <v>0</v>
      </c>
      <c r="K76" s="13">
        <f>Supuestos!$F$4*Cinematica!AS8+Supuestos!$G$4</f>
        <v>2.7454039963365203E-2</v>
      </c>
      <c r="L76" s="13">
        <f>SUMPRODUCT(B76:J76,Reacciones!$B$9:$J$9)-K76</f>
        <v>0</v>
      </c>
    </row>
    <row r="77" spans="1:12">
      <c r="A77" t="s">
        <v>109</v>
      </c>
      <c r="B77" s="13">
        <f>Cinematica!AQ8</f>
        <v>1.7240488593391761E-2</v>
      </c>
      <c r="C77" s="13">
        <f>-Cinematica!AP8</f>
        <v>-1.8104296535936672E-2</v>
      </c>
      <c r="D77" s="13">
        <f>-(Cinematica!G8-Cinematica!AQ8)</f>
        <v>-1.7240488593391761E-2</v>
      </c>
      <c r="E77" s="13">
        <f>Cinematica!F8-Cinematica!AP8</f>
        <v>1.8104296535936672E-2</v>
      </c>
      <c r="F77" s="13">
        <f>0</f>
        <v>0</v>
      </c>
      <c r="G77" s="13">
        <f>0</f>
        <v>0</v>
      </c>
      <c r="H77" s="13">
        <f>0</f>
        <v>0</v>
      </c>
      <c r="I77" s="13">
        <f>0</f>
        <v>0</v>
      </c>
      <c r="J77" s="13">
        <f>1</f>
        <v>1</v>
      </c>
      <c r="K77" s="13">
        <f>Supuestos!$H$4*Cinematica!E8</f>
        <v>0</v>
      </c>
      <c r="L77" s="13">
        <f>SUMPRODUCT(B77:J77,Reacciones!$B$9:$J$9)-K77</f>
        <v>-7.589415207398531E-19</v>
      </c>
    </row>
    <row r="78" spans="1:12">
      <c r="A78" t="s">
        <v>110</v>
      </c>
      <c r="B78" s="13">
        <f>0</f>
        <v>0</v>
      </c>
      <c r="C78" s="13">
        <f>0</f>
        <v>0</v>
      </c>
      <c r="D78" s="13">
        <f>-1</f>
        <v>-1</v>
      </c>
      <c r="E78" s="13">
        <f>0</f>
        <v>0</v>
      </c>
      <c r="F78" s="13">
        <f>1</f>
        <v>1</v>
      </c>
      <c r="G78" s="13">
        <f>0</f>
        <v>0</v>
      </c>
      <c r="H78" s="13">
        <f>0</f>
        <v>0</v>
      </c>
      <c r="I78" s="13">
        <f>0</f>
        <v>0</v>
      </c>
      <c r="J78" s="13">
        <f>0</f>
        <v>0</v>
      </c>
      <c r="K78" s="13">
        <f>Supuestos!$F$5*Cinematica!AV8</f>
        <v>-3.3297167914007853E-4</v>
      </c>
      <c r="L78" s="13">
        <f>SUMPRODUCT(B78:J78,Reacciones!$B$9:$J$9)-K78</f>
        <v>0</v>
      </c>
    </row>
    <row r="79" spans="1:12">
      <c r="A79" t="s">
        <v>111</v>
      </c>
      <c r="B79" s="13">
        <f>0</f>
        <v>0</v>
      </c>
      <c r="C79" s="13">
        <f>0</f>
        <v>0</v>
      </c>
      <c r="D79" s="13">
        <f>0</f>
        <v>0</v>
      </c>
      <c r="E79" s="13">
        <f>-1</f>
        <v>-1</v>
      </c>
      <c r="F79" s="13">
        <f>0</f>
        <v>0</v>
      </c>
      <c r="G79" s="13">
        <f>1</f>
        <v>1</v>
      </c>
      <c r="H79" s="13">
        <f>0</f>
        <v>0</v>
      </c>
      <c r="I79" s="13">
        <f>0</f>
        <v>0</v>
      </c>
      <c r="J79" s="13">
        <f>0</f>
        <v>0</v>
      </c>
      <c r="K79" s="13">
        <f>Supuestos!$F$5*Cinematica!AW8+Supuestos!$G$5</f>
        <v>4.0192791637793497E-2</v>
      </c>
      <c r="L79" s="13">
        <f>SUMPRODUCT(B79:J79,Reacciones!$B$9:$J$9)-K79</f>
        <v>0</v>
      </c>
    </row>
    <row r="80" spans="1:12">
      <c r="A80" t="s">
        <v>112</v>
      </c>
      <c r="B80" s="13">
        <f>0</f>
        <v>0</v>
      </c>
      <c r="C80" s="13">
        <f>0</f>
        <v>0</v>
      </c>
      <c r="D80" s="13">
        <f>-Cinematica!AU8</f>
        <v>-4.7310889839055861E-2</v>
      </c>
      <c r="E80" s="13">
        <f>Cinematica!AT8</f>
        <v>-1.6176517011913343E-2</v>
      </c>
      <c r="F80" s="13">
        <f>-(Cinematica!O8-Cinematica!AU8)</f>
        <v>-4.7310889839055861E-2</v>
      </c>
      <c r="G80" s="13">
        <f>Cinematica!N8-Cinematica!AT8</f>
        <v>-1.6176517011913343E-2</v>
      </c>
      <c r="H80" s="13">
        <f>0</f>
        <v>0</v>
      </c>
      <c r="I80" s="13">
        <f>0</f>
        <v>0</v>
      </c>
      <c r="J80" s="13">
        <f>0</f>
        <v>0</v>
      </c>
      <c r="K80" s="13">
        <f>Supuestos!$H$5*Cinematica!AB8</f>
        <v>-1.0033342130589761E-5</v>
      </c>
      <c r="L80" s="13">
        <f>SUMPRODUCT(B80:J80,Reacciones!$B$9:$J$9)-K80</f>
        <v>5.5904174518783822E-20</v>
      </c>
    </row>
    <row r="81" spans="1:12">
      <c r="A81" t="s">
        <v>113</v>
      </c>
      <c r="B81" s="13">
        <f>0</f>
        <v>0</v>
      </c>
      <c r="C81" s="13">
        <f>0</f>
        <v>0</v>
      </c>
      <c r="D81" s="13">
        <f>0</f>
        <v>0</v>
      </c>
      <c r="E81" s="13">
        <f>0</f>
        <v>0</v>
      </c>
      <c r="F81" s="13">
        <f>-1</f>
        <v>-1</v>
      </c>
      <c r="G81" s="13">
        <f>0</f>
        <v>0</v>
      </c>
      <c r="H81" s="13">
        <f>1</f>
        <v>1</v>
      </c>
      <c r="I81" s="13">
        <f>0</f>
        <v>0</v>
      </c>
      <c r="J81" s="13">
        <f>0</f>
        <v>0</v>
      </c>
      <c r="K81" s="13">
        <f>Supuestos!$F$6*Cinematica!AZ8</f>
        <v>-2.5998424052025302E-4</v>
      </c>
      <c r="L81" s="13">
        <f>SUMPRODUCT(B81:J81,Reacciones!$B$9:$J$9)-K81</f>
        <v>4.3368086899420177E-19</v>
      </c>
    </row>
    <row r="82" spans="1:12">
      <c r="A82" t="s">
        <v>114</v>
      </c>
      <c r="B82" s="13">
        <f>0</f>
        <v>0</v>
      </c>
      <c r="C82" s="13">
        <f>0</f>
        <v>0</v>
      </c>
      <c r="D82" s="13">
        <f>0</f>
        <v>0</v>
      </c>
      <c r="E82" s="13">
        <f>0</f>
        <v>0</v>
      </c>
      <c r="F82" s="13">
        <f>0</f>
        <v>0</v>
      </c>
      <c r="G82" s="13">
        <f>-1</f>
        <v>-1</v>
      </c>
      <c r="H82" s="13">
        <f>0</f>
        <v>0</v>
      </c>
      <c r="I82" s="13">
        <f>1</f>
        <v>1</v>
      </c>
      <c r="J82" s="13">
        <f>0</f>
        <v>0</v>
      </c>
      <c r="K82" s="13">
        <f>Supuestos!$F$6*Cinematica!BA8+Supuestos!$G$6</f>
        <v>0.11236505664417983</v>
      </c>
      <c r="L82" s="13">
        <f>SUMPRODUCT(B82:J82,Reacciones!$B$9:$J$9)-K82</f>
        <v>0</v>
      </c>
    </row>
    <row r="83" spans="1:12">
      <c r="A83" t="s">
        <v>115</v>
      </c>
      <c r="B83" s="13">
        <f>0</f>
        <v>0</v>
      </c>
      <c r="C83" s="13">
        <f>0</f>
        <v>0</v>
      </c>
      <c r="D83" s="13">
        <f>0</f>
        <v>0</v>
      </c>
      <c r="E83" s="13">
        <f>0</f>
        <v>0</v>
      </c>
      <c r="F83" s="13">
        <f>Cinematica!Q8-Cinematica!AY8</f>
        <v>5.3499951525744965E-2</v>
      </c>
      <c r="G83" s="13">
        <f>-(Cinematica!P8-Cinematica!AX8)</f>
        <v>0.10884205798652902</v>
      </c>
      <c r="H83" s="13">
        <f>Cinematica!AY8</f>
        <v>-9.3871946608497098E-3</v>
      </c>
      <c r="I83" s="13">
        <f>-Cinematica!AX8</f>
        <v>-1.9097617034575669E-2</v>
      </c>
      <c r="J83" s="13">
        <f>0</f>
        <v>0</v>
      </c>
      <c r="K83" s="13">
        <f>Supuestos!$H$6*Cinematica!AC8</f>
        <v>2.1371834087326394E-4</v>
      </c>
      <c r="L83" s="13">
        <f>SUMPRODUCT(B83:J83,Reacciones!$B$9:$J$9)-K83</f>
        <v>0</v>
      </c>
    </row>
    <row r="84" spans="1:12" ht="14.5">
      <c r="A84" s="11" t="s">
        <v>116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3"/>
    </row>
    <row r="85" spans="1:12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spans="1:12"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 spans="1:12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1:12"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spans="1:12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 spans="1:12"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spans="1:12"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1:12"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 spans="1:12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 spans="1:12"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spans="1:12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spans="1:12"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spans="2:12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spans="2:12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  <row r="99" spans="2:12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</row>
    <row r="100" spans="2:12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</sheetData>
  <mergeCells count="7">
    <mergeCell ref="A59:K59"/>
    <mergeCell ref="A73:K73"/>
    <mergeCell ref="A1:K1"/>
    <mergeCell ref="A3:K3"/>
    <mergeCell ref="A17:K17"/>
    <mergeCell ref="A31:K31"/>
    <mergeCell ref="A45:K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"/>
  <sheetViews>
    <sheetView workbookViewId="0">
      <selection sqref="A1:O1"/>
    </sheetView>
  </sheetViews>
  <sheetFormatPr defaultRowHeight="14.25"/>
  <cols>
    <col min="1" max="1" width="10" customWidth="1"/>
    <col min="2" max="9" width="13" customWidth="1"/>
    <col min="10" max="10" width="14" customWidth="1"/>
    <col min="11" max="15" width="13" customWidth="1"/>
  </cols>
  <sheetData>
    <row r="1" spans="1:15" ht="14.5">
      <c r="A1" s="24" t="s">
        <v>117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3" spans="1:15" ht="21.4" customHeight="1">
      <c r="A3" s="7" t="s">
        <v>31</v>
      </c>
      <c r="B3" s="7" t="s">
        <v>96</v>
      </c>
      <c r="C3" s="7" t="s">
        <v>97</v>
      </c>
      <c r="D3" s="7" t="s">
        <v>98</v>
      </c>
      <c r="E3" s="7" t="s">
        <v>99</v>
      </c>
      <c r="F3" s="7" t="s">
        <v>100</v>
      </c>
      <c r="G3" s="7" t="s">
        <v>101</v>
      </c>
      <c r="H3" s="7" t="s">
        <v>102</v>
      </c>
      <c r="I3" s="7" t="s">
        <v>103</v>
      </c>
      <c r="J3" s="7" t="s">
        <v>104</v>
      </c>
      <c r="K3" s="7" t="s">
        <v>118</v>
      </c>
      <c r="L3" s="7" t="s">
        <v>119</v>
      </c>
      <c r="M3" s="7" t="s">
        <v>120</v>
      </c>
      <c r="N3" s="7" t="s">
        <v>121</v>
      </c>
      <c r="O3" s="7" t="s">
        <v>122</v>
      </c>
    </row>
    <row r="4" spans="1:15">
      <c r="A4" s="17">
        <f>Cinematica!A3</f>
        <v>0.9</v>
      </c>
      <c r="B4" s="18">
        <f>INDEX(MMULT(MINVERSE('Sistema Reacciones'!$B$5:$J$13),'Sistema Reacciones'!$K$5:$K$13),1,1)</f>
        <v>5.932189711218887E-4</v>
      </c>
      <c r="C4" s="18">
        <f>INDEX(MMULT(MINVERSE('Sistema Reacciones'!$B$5:$J$13),'Sistema Reacciones'!$K$5:$K$13),2,1)</f>
        <v>4.8757459974859398E-2</v>
      </c>
      <c r="D4" s="18">
        <f>INDEX(MMULT(MINVERSE('Sistema Reacciones'!$B$5:$J$13),'Sistema Reacciones'!$K$5:$K$13),3,1)</f>
        <v>-1.6782926395301318E-4</v>
      </c>
      <c r="E4" s="18">
        <f>INDEX(MMULT(MINVERSE('Sistema Reacciones'!$B$5:$J$13),'Sistema Reacciones'!$K$5:$K$13),4,1)</f>
        <v>-2.0652046676882734E-2</v>
      </c>
      <c r="F4" s="18">
        <f>INDEX(MMULT(MINVERSE('Sistema Reacciones'!$B$5:$J$13),'Sistema Reacciones'!$K$5:$K$13),5,1)</f>
        <v>5.2342220557285155E-4</v>
      </c>
      <c r="G4" s="18">
        <f>INDEX(MMULT(MINVERSE('Sistema Reacciones'!$B$5:$J$13),'Sistema Reacciones'!$K$5:$K$13),6,1)</f>
        <v>2.2089001419068284E-2</v>
      </c>
      <c r="H4" s="18">
        <f>INDEX(MMULT(MINVERSE('Sistema Reacciones'!$B$5:$J$13),'Sistema Reacciones'!$K$5:$K$13),7,1)</f>
        <v>4.6308130857658882E-4</v>
      </c>
      <c r="I4" s="18">
        <f>INDEX(MMULT(MINVERSE('Sistema Reacciones'!$B$5:$J$13),'Sistema Reacciones'!$K$5:$K$13),8,1)</f>
        <v>0.13267085483184576</v>
      </c>
      <c r="J4" s="18">
        <f>INDEX(MMULT(MINVERSE('Sistema Reacciones'!$B$5:$J$13),'Sistema Reacciones'!$K$5:$K$13),9,1)</f>
        <v>-1.4157840777010444E-3</v>
      </c>
      <c r="K4" s="18">
        <f t="shared" ref="K4:K9" si="0">SQRT(B4^2+C4^2)</f>
        <v>4.8761068609575353E-2</v>
      </c>
      <c r="L4" s="18">
        <f t="shared" ref="L4:L9" si="1">SQRT(D4^2+E4^2)</f>
        <v>2.0652728599533335E-2</v>
      </c>
      <c r="M4" s="18">
        <f t="shared" ref="M4:M9" si="2">SQRT(F4^2+G4^2)</f>
        <v>2.209520206960976E-2</v>
      </c>
      <c r="N4" s="18">
        <f t="shared" ref="N4:N9" si="3">SQRT(H4^2+I4^2)</f>
        <v>0.13267166301102523</v>
      </c>
      <c r="O4" s="18">
        <f>MAX(ABS('Sistema Reacciones'!L5),ABS('Sistema Reacciones'!L6),ABS('Sistema Reacciones'!L7),ABS('Sistema Reacciones'!L8),ABS('Sistema Reacciones'!L9),ABS('Sistema Reacciones'!L10),ABS('Sistema Reacciones'!L11),ABS('Sistema Reacciones'!L12),ABS('Sistema Reacciones'!L13))</f>
        <v>1.1926223897340549E-18</v>
      </c>
    </row>
    <row r="5" spans="1:15">
      <c r="A5" s="17">
        <f>Cinematica!A4</f>
        <v>1.266</v>
      </c>
      <c r="B5" s="18">
        <f>INDEX(MMULT(MINVERSE('Sistema Reacciones'!$B$19:$J$27),'Sistema Reacciones'!$K$19:$K$27),1,1)</f>
        <v>1.0333469013552857E-4</v>
      </c>
      <c r="C5" s="18">
        <f>INDEX(MMULT(MINVERSE('Sistema Reacciones'!$B$19:$J$27),'Sistema Reacciones'!$K$19:$K$27),2,1)</f>
        <v>4.6436468427163313E-2</v>
      </c>
      <c r="D5" s="18">
        <f>INDEX(MMULT(MINVERSE('Sistema Reacciones'!$B$19:$J$27),'Sistema Reacciones'!$K$19:$K$27),3,1)</f>
        <v>4.1186826292670582E-4</v>
      </c>
      <c r="E5" s="18">
        <f>INDEX(MMULT(MINVERSE('Sistema Reacciones'!$B$19:$J$27),'Sistema Reacciones'!$K$19:$K$27),4,1)</f>
        <v>-1.8673402860080037E-2</v>
      </c>
      <c r="F5" s="18">
        <f>INDEX(MMULT(MINVERSE('Sistema Reacciones'!$B$19:$J$27),'Sistema Reacciones'!$K$19:$K$27),5,1)</f>
        <v>1.5842441045537392E-3</v>
      </c>
      <c r="G5" s="18">
        <f>INDEX(MMULT(MINVERSE('Sistema Reacciones'!$B$19:$J$27),'Sistema Reacciones'!$K$19:$K$27),6,1)</f>
        <v>2.3081549441291795E-2</v>
      </c>
      <c r="H5" s="18">
        <f>INDEX(MMULT(MINVERSE('Sistema Reacciones'!$B$19:$J$27),'Sistema Reacciones'!$K$19:$K$27),7,1)</f>
        <v>1.1307571899896486E-3</v>
      </c>
      <c r="I5" s="18">
        <f>INDEX(MMULT(MINVERSE('Sistema Reacciones'!$B$19:$J$27),'Sistema Reacciones'!$K$19:$K$27),8,1)</f>
        <v>0.13419974306412413</v>
      </c>
      <c r="J5" s="18">
        <f>INDEX(MMULT(MINVERSE('Sistema Reacciones'!$B$19:$J$27),'Sistema Reacciones'!$K$19:$K$27),9,1)</f>
        <v>-1.6200751877240426E-3</v>
      </c>
      <c r="K5" s="18">
        <f t="shared" si="0"/>
        <v>4.643658340193775E-2</v>
      </c>
      <c r="L5" s="18">
        <f t="shared" si="1"/>
        <v>1.8677944475794211E-2</v>
      </c>
      <c r="M5" s="18">
        <f t="shared" si="2"/>
        <v>2.3135854295737834E-2</v>
      </c>
      <c r="N5" s="18">
        <f t="shared" si="3"/>
        <v>0.134204506818138</v>
      </c>
      <c r="O5" s="18">
        <f>MAX(ABS('Sistema Reacciones'!L19),ABS('Sistema Reacciones'!L20),ABS('Sistema Reacciones'!L21),ABS('Sistema Reacciones'!L22),ABS('Sistema Reacciones'!L23),ABS('Sistema Reacciones'!L24),ABS('Sistema Reacciones'!L25),ABS('Sistema Reacciones'!L26),ABS('Sistema Reacciones'!L27))</f>
        <v>2.7647155398380363E-18</v>
      </c>
    </row>
    <row r="6" spans="1:15">
      <c r="A6" s="17">
        <f>Cinematica!A5</f>
        <v>1.633</v>
      </c>
      <c r="B6" s="18">
        <f>INDEX(MMULT(MINVERSE('Sistema Reacciones'!$B$33:$J$41),'Sistema Reacciones'!$K$33:$K$41),1,1)</f>
        <v>-7.2733479327507209E-4</v>
      </c>
      <c r="C6" s="18">
        <f>INDEX(MMULT(MINVERSE('Sistema Reacciones'!$B$33:$J$41),'Sistema Reacciones'!$K$33:$K$41),2,1)</f>
        <v>4.4157842300297935E-2</v>
      </c>
      <c r="D6" s="18">
        <f>INDEX(MMULT(MINVERSE('Sistema Reacciones'!$B$33:$J$41),'Sistema Reacciones'!$K$33:$K$41),3,1)</f>
        <v>1.0815297742047198E-3</v>
      </c>
      <c r="E6" s="18">
        <f>INDEX(MMULT(MINVERSE('Sistema Reacciones'!$B$33:$J$41),'Sistema Reacciones'!$K$33:$K$41),4,1)</f>
        <v>-1.6724162145373908E-2</v>
      </c>
      <c r="F6" s="18">
        <f>INDEX(MMULT(MINVERSE('Sistema Reacciones'!$B$33:$J$41),'Sistema Reacciones'!$K$33:$K$41),5,1)</f>
        <v>1.7490504943253517E-3</v>
      </c>
      <c r="G6" s="18">
        <f>INDEX(MMULT(MINVERSE('Sistema Reacciones'!$B$33:$J$41),'Sistema Reacciones'!$K$33:$K$41),6,1)</f>
        <v>2.3970150855264792E-2</v>
      </c>
      <c r="H6" s="18">
        <f>INDEX(MMULT(MINVERSE('Sistema Reacciones'!$B$33:$J$41),'Sistema Reacciones'!$K$33:$K$41),7,1)</f>
        <v>1.5944405139044085E-3</v>
      </c>
      <c r="I6" s="18">
        <f>INDEX(MMULT(MINVERSE('Sistema Reacciones'!$B$33:$J$41),'Sistema Reacciones'!$K$33:$K$41),8,1)</f>
        <v>0.13573135364948258</v>
      </c>
      <c r="J6" s="18">
        <f>INDEX(MMULT(MINVERSE('Sistema Reacciones'!$B$33:$J$41),'Sistema Reacciones'!$K$33:$K$41),9,1)</f>
        <v>-1.0089498606368804E-3</v>
      </c>
      <c r="K6" s="18">
        <f t="shared" si="0"/>
        <v>4.4163831950131884E-2</v>
      </c>
      <c r="L6" s="18">
        <f t="shared" si="1"/>
        <v>1.6759096220179921E-2</v>
      </c>
      <c r="M6" s="18">
        <f t="shared" si="2"/>
        <v>2.4033878373160067E-2</v>
      </c>
      <c r="N6" s="18">
        <f t="shared" si="3"/>
        <v>0.13574071829806003</v>
      </c>
      <c r="O6" s="18">
        <f>MAX(ABS('Sistema Reacciones'!L33),ABS('Sistema Reacciones'!L34),ABS('Sistema Reacciones'!L35),ABS('Sistema Reacciones'!L36),ABS('Sistema Reacciones'!L37),ABS('Sistema Reacciones'!L38),ABS('Sistema Reacciones'!L39),ABS('Sistema Reacciones'!L40),ABS('Sistema Reacciones'!L41))</f>
        <v>6.5052130349130266E-19</v>
      </c>
    </row>
    <row r="7" spans="1:15">
      <c r="A7" s="17">
        <f>Cinematica!A6</f>
        <v>1.766</v>
      </c>
      <c r="B7" s="18">
        <f>INDEX(MMULT(MINVERSE('Sistema Reacciones'!$B$47:$J$55),'Sistema Reacciones'!$K$47:$K$55),1,1)</f>
        <v>-1.2510707887106402E-3</v>
      </c>
      <c r="C7" s="18">
        <f>INDEX(MMULT(MINVERSE('Sistema Reacciones'!$B$47:$J$55),'Sistema Reacciones'!$K$47:$K$55),2,1)</f>
        <v>4.2570374269223513E-2</v>
      </c>
      <c r="D7" s="18">
        <f>INDEX(MMULT(MINVERSE('Sistema Reacciones'!$B$47:$J$55),'Sistema Reacciones'!$K$47:$K$55),3,1)</f>
        <v>1.4540719208896548E-3</v>
      </c>
      <c r="E7" s="18">
        <f>INDEX(MMULT(MINVERSE('Sistema Reacciones'!$B$47:$J$55),'Sistema Reacciones'!$K$47:$K$55),4,1)</f>
        <v>-1.5235444263163261E-2</v>
      </c>
      <c r="F7" s="18">
        <f>INDEX(MMULT(MINVERSE('Sistema Reacciones'!$B$47:$J$55),'Sistema Reacciones'!$K$47:$K$55),5,1)</f>
        <v>1.5217316600516775E-3</v>
      </c>
      <c r="G7" s="18">
        <f>INDEX(MMULT(MINVERSE('Sistema Reacciones'!$B$47:$J$55),'Sistema Reacciones'!$K$47:$K$55),6,1)</f>
        <v>2.5097376887124639E-2</v>
      </c>
      <c r="H7" s="18">
        <f>INDEX(MMULT(MINVERSE('Sistema Reacciones'!$B$47:$J$55),'Sistema Reacciones'!$K$47:$K$55),7,1)</f>
        <v>1.7905314941736132E-3</v>
      </c>
      <c r="I7" s="18">
        <f>INDEX(MMULT(MINVERSE('Sistema Reacciones'!$B$47:$J$55),'Sistema Reacciones'!$K$47:$K$55),8,1)</f>
        <v>0.13710073657860822</v>
      </c>
      <c r="J7" s="18">
        <f>INDEX(MMULT(MINVERSE('Sistema Reacciones'!$B$47:$J$55),'Sistema Reacciones'!$K$47:$K$55),9,1)</f>
        <v>-5.0477799370729482E-4</v>
      </c>
      <c r="K7" s="18">
        <f t="shared" si="0"/>
        <v>4.258875372137734E-2</v>
      </c>
      <c r="L7" s="18">
        <f t="shared" si="1"/>
        <v>1.5304675332952152E-2</v>
      </c>
      <c r="M7" s="18">
        <f t="shared" si="2"/>
        <v>2.5143468214619512E-2</v>
      </c>
      <c r="N7" s="18">
        <f t="shared" si="3"/>
        <v>0.13711242822380673</v>
      </c>
      <c r="O7" s="18">
        <f>MAX(ABS('Sistema Reacciones'!L47),ABS('Sistema Reacciones'!L48),ABS('Sistema Reacciones'!L49),ABS('Sistema Reacciones'!L50),ABS('Sistema Reacciones'!L51),ABS('Sistema Reacciones'!L52),ABS('Sistema Reacciones'!L53),ABS('Sistema Reacciones'!L54),ABS('Sistema Reacciones'!L55))</f>
        <v>6.7762635780344027E-19</v>
      </c>
    </row>
    <row r="8" spans="1:15">
      <c r="A8" s="17">
        <f>Cinematica!A7</f>
        <v>1.899</v>
      </c>
      <c r="B8" s="18">
        <f>INDEX(MMULT(MINVERSE('Sistema Reacciones'!$B$61:$J$69),'Sistema Reacciones'!$K$61:$K$69),1,1)</f>
        <v>-1.5547094407950166E-3</v>
      </c>
      <c r="C8" s="18">
        <f>INDEX(MMULT(MINVERSE('Sistema Reacciones'!$B$61:$J$69),'Sistema Reacciones'!$K$61:$K$69),2,1)</f>
        <v>3.9453601994097975E-2</v>
      </c>
      <c r="D8" s="18">
        <f>INDEX(MMULT(MINVERSE('Sistema Reacciones'!$B$61:$J$69),'Sistema Reacciones'!$K$61:$K$69),3,1)</f>
        <v>1.5510972315888342E-3</v>
      </c>
      <c r="E8" s="18">
        <f>INDEX(MMULT(MINVERSE('Sistema Reacciones'!$B$61:$J$69),'Sistema Reacciones'!$K$61:$K$69),4,1)</f>
        <v>-1.2160144943659568E-2</v>
      </c>
      <c r="F8" s="18">
        <f>INDEX(MMULT(MINVERSE('Sistema Reacciones'!$B$61:$J$69),'Sistema Reacciones'!$K$61:$K$69),5,1)</f>
        <v>7.6382761911285096E-4</v>
      </c>
      <c r="G8" s="18">
        <f>INDEX(MMULT(MINVERSE('Sistema Reacciones'!$B$61:$J$69),'Sistema Reacciones'!$K$61:$K$69),6,1)</f>
        <v>2.7814199030758189E-2</v>
      </c>
      <c r="H8" s="18">
        <f>INDEX(MMULT(MINVERSE('Sistema Reacciones'!$B$61:$J$69),'Sistema Reacciones'!$K$61:$K$69),7,1)</f>
        <v>1.6511767196796549E-3</v>
      </c>
      <c r="I8" s="18">
        <f>INDEX(MMULT(MINVERSE('Sistema Reacciones'!$B$61:$J$69),'Sistema Reacciones'!$K$61:$K$69),8,1)</f>
        <v>0.14015380285872533</v>
      </c>
      <c r="J8" s="18">
        <f>INDEX(MMULT(MINVERSE('Sistema Reacciones'!$B$61:$J$69),'Sistema Reacciones'!$K$61:$K$69),9,1)</f>
        <v>8.6651499709791051E-5</v>
      </c>
      <c r="K8" s="18">
        <f t="shared" si="0"/>
        <v>3.9484222567425446E-2</v>
      </c>
      <c r="L8" s="18">
        <f t="shared" si="1"/>
        <v>1.2258671529682649E-2</v>
      </c>
      <c r="M8" s="18">
        <f t="shared" si="2"/>
        <v>2.7824685089940359E-2</v>
      </c>
      <c r="N8" s="18">
        <f t="shared" si="3"/>
        <v>0.14016352892361855</v>
      </c>
      <c r="O8" s="18">
        <f>MAX(ABS('Sistema Reacciones'!L61),ABS('Sistema Reacciones'!L62),ABS('Sistema Reacciones'!L63),ABS('Sistema Reacciones'!L64),ABS('Sistema Reacciones'!L65),ABS('Sistema Reacciones'!L66),ABS('Sistema Reacciones'!L67),ABS('Sistema Reacciones'!L68),ABS('Sistema Reacciones'!L69))</f>
        <v>1.6805133673525319E-18</v>
      </c>
    </row>
    <row r="9" spans="1:15">
      <c r="A9" s="17">
        <f>Cinematica!A8</f>
        <v>2.0990000000000002</v>
      </c>
      <c r="B9" s="18">
        <f>INDEX(MMULT(MINVERSE('Sistema Reacciones'!$B$75:$J$83),'Sistema Reacciones'!$K$75:$K$83),1,1)</f>
        <v>1.9004554686093958E-3</v>
      </c>
      <c r="C9" s="18">
        <f>INDEX(MMULT(MINVERSE('Sistema Reacciones'!$B$75:$J$83),'Sistema Reacciones'!$K$75:$K$83),2,1)</f>
        <v>4.0099340335578604E-2</v>
      </c>
      <c r="D9" s="18">
        <f>INDEX(MMULT(MINVERSE('Sistema Reacciones'!$B$75:$J$83),'Sistema Reacciones'!$K$75:$K$83),3,1)</f>
        <v>-2.2751528947326924E-3</v>
      </c>
      <c r="E9" s="18">
        <f>INDEX(MMULT(MINVERSE('Sistema Reacciones'!$B$75:$J$83),'Sistema Reacciones'!$K$75:$K$83),4,1)</f>
        <v>-1.2645300372213409E-2</v>
      </c>
      <c r="F9" s="18">
        <f>INDEX(MMULT(MINVERSE('Sistema Reacciones'!$B$75:$J$83),'Sistema Reacciones'!$K$75:$K$83),5,1)</f>
        <v>-2.6081245738727712E-3</v>
      </c>
      <c r="G9" s="18">
        <f>INDEX(MMULT(MINVERSE('Sistema Reacciones'!$B$75:$J$83),'Sistema Reacciones'!$K$75:$K$83),6,1)</f>
        <v>2.75474912655801E-2</v>
      </c>
      <c r="H9" s="18">
        <f>INDEX(MMULT(MINVERSE('Sistema Reacciones'!$B$75:$J$83),'Sistema Reacciones'!$K$75:$K$83),7,1)</f>
        <v>-2.8681088143930238E-3</v>
      </c>
      <c r="I9" s="18">
        <f>INDEX(MMULT(MINVERSE('Sistema Reacciones'!$B$75:$J$83),'Sistema Reacciones'!$K$75:$K$83),8,1)</f>
        <v>0.13991254790975993</v>
      </c>
      <c r="J9" s="18">
        <f>INDEX(MMULT(MINVERSE('Sistema Reacciones'!$B$75:$J$83),'Sistema Reacciones'!$K$75:$K$83),9,1)</f>
        <v>8.8291508769663203E-4</v>
      </c>
      <c r="K9" s="18">
        <f t="shared" si="0"/>
        <v>4.0144349868153656E-2</v>
      </c>
      <c r="L9" s="18">
        <f t="shared" si="1"/>
        <v>1.2848343947681007E-2</v>
      </c>
      <c r="M9" s="18">
        <f t="shared" si="2"/>
        <v>2.7670681032819753E-2</v>
      </c>
      <c r="N9" s="18">
        <f t="shared" si="3"/>
        <v>0.13994194192868722</v>
      </c>
      <c r="O9" s="18">
        <f>MAX(ABS('Sistema Reacciones'!L75),ABS('Sistema Reacciones'!L76),ABS('Sistema Reacciones'!L77),ABS('Sistema Reacciones'!L78),ABS('Sistema Reacciones'!L79),ABS('Sistema Reacciones'!L80),ABS('Sistema Reacciones'!L81),ABS('Sistema Reacciones'!L82),ABS('Sistema Reacciones'!L83))</f>
        <v>7.589415207398531E-19</v>
      </c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>
      <selection sqref="A1:H1"/>
    </sheetView>
  </sheetViews>
  <sheetFormatPr defaultRowHeight="14.25"/>
  <cols>
    <col min="1" max="1" width="24" customWidth="1"/>
    <col min="2" max="2" width="100" customWidth="1"/>
  </cols>
  <sheetData>
    <row r="1" spans="1:8" ht="14.5">
      <c r="A1" s="24" t="s">
        <v>123</v>
      </c>
      <c r="B1" s="24"/>
      <c r="C1" s="24"/>
      <c r="D1" s="24"/>
      <c r="E1" s="24"/>
      <c r="F1" s="24"/>
      <c r="G1" s="24"/>
      <c r="H1" s="24"/>
    </row>
    <row r="3" spans="1:8" ht="28" customHeight="1">
      <c r="A3" s="15" t="s">
        <v>124</v>
      </c>
      <c r="B3" s="16" t="s">
        <v>125</v>
      </c>
    </row>
    <row r="4" spans="1:8" ht="28" customHeight="1">
      <c r="A4" s="15" t="s">
        <v>126</v>
      </c>
      <c r="B4" s="16" t="s">
        <v>127</v>
      </c>
    </row>
    <row r="5" spans="1:8" ht="28" customHeight="1">
      <c r="A5" s="15" t="s">
        <v>128</v>
      </c>
      <c r="B5" s="16" t="s">
        <v>129</v>
      </c>
    </row>
    <row r="6" spans="1:8" ht="28" customHeight="1">
      <c r="A6" s="15" t="s">
        <v>130</v>
      </c>
      <c r="B6" s="16" t="s">
        <v>131</v>
      </c>
    </row>
    <row r="7" spans="1:8" ht="28" customHeight="1">
      <c r="A7" s="15" t="s">
        <v>132</v>
      </c>
      <c r="B7" s="16" t="s">
        <v>133</v>
      </c>
    </row>
    <row r="8" spans="1:8" ht="28" customHeight="1">
      <c r="A8" s="15" t="s">
        <v>134</v>
      </c>
      <c r="B8" s="16" t="s">
        <v>135</v>
      </c>
    </row>
    <row r="9" spans="1:8" ht="28" customHeight="1">
      <c r="A9" s="15" t="s">
        <v>136</v>
      </c>
      <c r="B9" s="16" t="s">
        <v>137</v>
      </c>
    </row>
    <row r="10" spans="1:8" ht="28" customHeight="1">
      <c r="A10" s="15" t="s">
        <v>138</v>
      </c>
      <c r="B10" s="16" t="s">
        <v>139</v>
      </c>
    </row>
    <row r="11" spans="1:8" ht="28" customHeight="1">
      <c r="A11" s="15" t="s">
        <v>140</v>
      </c>
      <c r="B11" s="16" t="s">
        <v>141</v>
      </c>
    </row>
    <row r="12" spans="1:8" ht="28" customHeight="1">
      <c r="A12" s="15" t="s">
        <v>142</v>
      </c>
      <c r="B12" s="16" t="s">
        <v>143</v>
      </c>
    </row>
    <row r="13" spans="1:8" ht="28" customHeight="1">
      <c r="A13" s="15" t="s">
        <v>144</v>
      </c>
      <c r="B13" s="16" t="s">
        <v>145</v>
      </c>
    </row>
    <row r="14" spans="1:8" ht="28" customHeight="1">
      <c r="A14" s="15" t="s">
        <v>146</v>
      </c>
      <c r="B14" s="16" t="s">
        <v>147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EEA6-889A-4A82-9648-F298FECC8388}">
  <dimension ref="A1:V16"/>
  <sheetViews>
    <sheetView zoomScale="58" zoomScaleNormal="40" workbookViewId="0">
      <selection activeCell="U39" sqref="U39"/>
    </sheetView>
  </sheetViews>
  <sheetFormatPr defaultRowHeight="14.25"/>
  <cols>
    <col min="1" max="1" width="8.75" bestFit="1" customWidth="1"/>
    <col min="2" max="3" width="8.6640625" customWidth="1"/>
    <col min="4" max="4" width="8.75" bestFit="1" customWidth="1"/>
    <col min="5" max="5" width="9.75" customWidth="1"/>
    <col min="6" max="9" width="8.75" bestFit="1" customWidth="1"/>
    <col min="10" max="10" width="9.4140625" bestFit="1" customWidth="1"/>
    <col min="11" max="11" width="8.75" bestFit="1" customWidth="1"/>
    <col min="12" max="14" width="9.4140625" bestFit="1" customWidth="1"/>
    <col min="15" max="15" width="8.75" bestFit="1" customWidth="1"/>
    <col min="16" max="16" width="9.4140625" bestFit="1" customWidth="1"/>
    <col min="17" max="17" width="8.75" bestFit="1" customWidth="1"/>
    <col min="18" max="18" width="9.4140625" bestFit="1" customWidth="1"/>
    <col min="19" max="22" width="8.75" bestFit="1" customWidth="1"/>
  </cols>
  <sheetData>
    <row r="1" spans="1:22" ht="14.5">
      <c r="A1" s="20" t="s">
        <v>162</v>
      </c>
      <c r="B1" s="20" t="s">
        <v>161</v>
      </c>
      <c r="C1" s="20" t="s">
        <v>157</v>
      </c>
      <c r="D1" s="20" t="s">
        <v>158</v>
      </c>
      <c r="E1" s="20" t="s">
        <v>159</v>
      </c>
      <c r="F1" s="20" t="s">
        <v>160</v>
      </c>
      <c r="I1" s="22" t="s">
        <v>31</v>
      </c>
      <c r="J1" s="22" t="s">
        <v>148</v>
      </c>
      <c r="K1" s="22" t="s">
        <v>149</v>
      </c>
      <c r="L1" s="22" t="s">
        <v>150</v>
      </c>
      <c r="M1" s="22" t="s">
        <v>151</v>
      </c>
      <c r="N1" s="22" t="s">
        <v>152</v>
      </c>
      <c r="O1" s="22" t="s">
        <v>153</v>
      </c>
      <c r="P1" s="22" t="s">
        <v>154</v>
      </c>
      <c r="Q1" s="22" t="s">
        <v>155</v>
      </c>
      <c r="R1" s="22" t="s">
        <v>156</v>
      </c>
      <c r="S1" s="22" t="s">
        <v>163</v>
      </c>
      <c r="T1" s="22" t="s">
        <v>164</v>
      </c>
      <c r="U1" s="22" t="s">
        <v>165</v>
      </c>
      <c r="V1" s="22" t="s">
        <v>166</v>
      </c>
    </row>
    <row r="2" spans="1:22">
      <c r="A2" s="21">
        <v>0.9</v>
      </c>
      <c r="B2" s="21">
        <v>-145.30000000000001</v>
      </c>
      <c r="C2" s="21">
        <v>-145.30000000000001</v>
      </c>
      <c r="D2" s="21">
        <v>93.8</v>
      </c>
      <c r="E2" s="21">
        <v>42.24</v>
      </c>
      <c r="F2" s="21">
        <v>27.77</v>
      </c>
      <c r="I2" s="23">
        <v>0.9</v>
      </c>
      <c r="J2" s="23">
        <v>5.9299999999999999E-4</v>
      </c>
      <c r="K2" s="23">
        <v>4.8757000000000002E-2</v>
      </c>
      <c r="L2" s="23">
        <v>-1.6799999999999999E-4</v>
      </c>
      <c r="M2" s="23">
        <v>-2.0652E-2</v>
      </c>
      <c r="N2" s="23">
        <v>5.2300000000000003E-4</v>
      </c>
      <c r="O2" s="23">
        <v>2.2089000000000001E-2</v>
      </c>
      <c r="P2" s="23">
        <v>4.6299999999999998E-4</v>
      </c>
      <c r="Q2" s="23">
        <v>0.13267100000000001</v>
      </c>
      <c r="R2" s="23">
        <v>-1.4159999999999999E-3</v>
      </c>
      <c r="S2" s="19">
        <f t="shared" ref="S2:S7" si="0">SQRT(J2^2 + K2^2)</f>
        <v>4.876060600525798E-2</v>
      </c>
      <c r="T2" s="19">
        <f t="shared" ref="T2:T7" si="1">SQRT(L2^2 + M2^2)</f>
        <v>2.0652683312344669E-2</v>
      </c>
      <c r="U2" s="19">
        <f t="shared" ref="U2:U7" si="2">SQRT(N2^2 + O2^2)</f>
        <v>2.2095190653171563E-2</v>
      </c>
      <c r="V2" s="19">
        <f t="shared" ref="V2:V7" si="3">SQRT(P2^2 + Q2^2)</f>
        <v>0.13267180789451843</v>
      </c>
    </row>
    <row r="3" spans="1:22">
      <c r="A3" s="21">
        <v>1.266</v>
      </c>
      <c r="B3" s="21">
        <v>-185.3</v>
      </c>
      <c r="C3" s="21">
        <v>-185.3</v>
      </c>
      <c r="D3" s="21">
        <v>93.6</v>
      </c>
      <c r="E3" s="21">
        <v>42.24</v>
      </c>
      <c r="F3" s="21">
        <v>19.59</v>
      </c>
      <c r="I3" s="23">
        <v>1.266</v>
      </c>
      <c r="J3" s="23">
        <v>1.03E-4</v>
      </c>
      <c r="K3" s="23">
        <v>4.6435999999999998E-2</v>
      </c>
      <c r="L3" s="23">
        <v>4.1199999999999999E-4</v>
      </c>
      <c r="M3" s="23">
        <v>-1.8672999999999999E-2</v>
      </c>
      <c r="N3" s="23">
        <v>1.5839999999999999E-3</v>
      </c>
      <c r="O3" s="23">
        <v>2.3081999999999998E-2</v>
      </c>
      <c r="P3" s="23">
        <v>1.1310000000000001E-3</v>
      </c>
      <c r="Q3" s="23">
        <v>0.13420000000000001</v>
      </c>
      <c r="R3" s="23">
        <v>-1.6199999999999999E-3</v>
      </c>
      <c r="S3" s="19">
        <f t="shared" si="0"/>
        <v>4.6436114232351527E-2</v>
      </c>
      <c r="T3" s="19">
        <f t="shared" si="1"/>
        <v>1.867754461914092E-2</v>
      </c>
      <c r="U3" s="19">
        <f t="shared" si="2"/>
        <v>2.3136287083281103E-2</v>
      </c>
      <c r="V3" s="19">
        <f t="shared" si="3"/>
        <v>0.13420476579093607</v>
      </c>
    </row>
    <row r="4" spans="1:22">
      <c r="A4" s="21">
        <v>1.633</v>
      </c>
      <c r="B4" s="21">
        <v>-226.8</v>
      </c>
      <c r="C4" s="21">
        <v>-226.8</v>
      </c>
      <c r="D4" s="21">
        <v>88.32</v>
      </c>
      <c r="E4" s="21">
        <v>42.24</v>
      </c>
      <c r="F4" s="21">
        <v>9.92</v>
      </c>
      <c r="I4" s="23">
        <v>1.633</v>
      </c>
      <c r="J4" s="23">
        <v>-7.27E-4</v>
      </c>
      <c r="K4" s="23">
        <v>4.4158000000000003E-2</v>
      </c>
      <c r="L4" s="23">
        <v>1.0820000000000001E-3</v>
      </c>
      <c r="M4" s="23">
        <v>-1.6723999999999999E-2</v>
      </c>
      <c r="N4" s="23">
        <v>1.7489999999999999E-3</v>
      </c>
      <c r="O4" s="23">
        <v>2.3970000000000002E-2</v>
      </c>
      <c r="P4" s="23">
        <v>1.5939999999999999E-3</v>
      </c>
      <c r="Q4" s="23">
        <v>0.13573099999999999</v>
      </c>
      <c r="R4" s="23">
        <v>-1.0089999999999999E-3</v>
      </c>
      <c r="S4" s="19">
        <f t="shared" si="0"/>
        <v>4.4163984116019246E-2</v>
      </c>
      <c r="T4" s="19">
        <f t="shared" si="1"/>
        <v>1.6758964765163746E-2</v>
      </c>
      <c r="U4" s="19">
        <f t="shared" si="2"/>
        <v>2.4033724243237877E-2</v>
      </c>
      <c r="V4" s="19">
        <f t="shared" si="3"/>
        <v>0.13574035949930294</v>
      </c>
    </row>
    <row r="5" spans="1:22">
      <c r="A5" s="21">
        <v>1.766</v>
      </c>
      <c r="B5" s="21">
        <v>-246.9</v>
      </c>
      <c r="C5" s="21">
        <v>-246.9</v>
      </c>
      <c r="D5" s="21">
        <v>85.58</v>
      </c>
      <c r="E5" s="21">
        <v>42.24</v>
      </c>
      <c r="F5" s="21">
        <v>6.15</v>
      </c>
      <c r="I5" s="23">
        <v>1.766</v>
      </c>
      <c r="J5" s="23">
        <v>-1.2509999999999999E-3</v>
      </c>
      <c r="K5" s="23">
        <v>4.2569999999999997E-2</v>
      </c>
      <c r="L5" s="23">
        <v>1.454E-3</v>
      </c>
      <c r="M5" s="23">
        <v>-1.5235E-2</v>
      </c>
      <c r="N5" s="23">
        <v>1.5219999999999999E-3</v>
      </c>
      <c r="O5" s="23">
        <v>2.5097000000000001E-2</v>
      </c>
      <c r="P5" s="23">
        <v>1.7910000000000001E-3</v>
      </c>
      <c r="Q5" s="23">
        <v>0.137101</v>
      </c>
      <c r="R5" s="23">
        <v>-5.0500000000000002E-4</v>
      </c>
      <c r="S5" s="19">
        <f t="shared" si="0"/>
        <v>4.2588377534252223E-2</v>
      </c>
      <c r="T5" s="19">
        <f t="shared" si="1"/>
        <v>1.5304226246367373E-2</v>
      </c>
      <c r="U5" s="19">
        <f t="shared" si="2"/>
        <v>2.5143108260515447E-2</v>
      </c>
      <c r="V5" s="19">
        <f t="shared" si="3"/>
        <v>0.13711269774167525</v>
      </c>
    </row>
    <row r="6" spans="1:22">
      <c r="A6" s="21">
        <v>1.899</v>
      </c>
      <c r="B6" s="21">
        <v>-270.39999999999998</v>
      </c>
      <c r="C6" s="21">
        <v>-270.39999999999998</v>
      </c>
      <c r="D6" s="21">
        <v>83.66</v>
      </c>
      <c r="E6" s="21">
        <v>42.24</v>
      </c>
      <c r="F6" s="21">
        <v>3.69</v>
      </c>
      <c r="I6" s="23">
        <v>1.899</v>
      </c>
      <c r="J6" s="23">
        <v>-1.555E-3</v>
      </c>
      <c r="K6" s="23">
        <v>3.9454000000000003E-2</v>
      </c>
      <c r="L6" s="23">
        <v>1.5510000000000001E-3</v>
      </c>
      <c r="M6" s="23">
        <v>-1.2160000000000001E-2</v>
      </c>
      <c r="N6" s="23">
        <v>7.6400000000000003E-4</v>
      </c>
      <c r="O6" s="23">
        <v>2.7813999999999998E-2</v>
      </c>
      <c r="P6" s="23">
        <v>1.6509999999999999E-3</v>
      </c>
      <c r="Q6" s="23">
        <v>0.140154</v>
      </c>
      <c r="R6" s="23">
        <v>8.7000000000000001E-5</v>
      </c>
      <c r="S6" s="19">
        <f t="shared" si="0"/>
        <v>3.9484631706526024E-2</v>
      </c>
      <c r="T6" s="19">
        <f t="shared" si="1"/>
        <v>1.2258515448454597E-2</v>
      </c>
      <c r="U6" s="19">
        <f t="shared" si="2"/>
        <v>2.7824490866860438E-2</v>
      </c>
      <c r="V6" s="19">
        <f t="shared" si="3"/>
        <v>0.14016372396950647</v>
      </c>
    </row>
    <row r="7" spans="1:22">
      <c r="A7" s="21">
        <v>2.0990000000000002</v>
      </c>
      <c r="B7" s="21">
        <v>-316.39999999999998</v>
      </c>
      <c r="C7" s="21">
        <v>-316.39999999999998</v>
      </c>
      <c r="D7" s="21">
        <v>88.29</v>
      </c>
      <c r="E7" s="21">
        <v>42.24</v>
      </c>
      <c r="F7" s="21">
        <v>9.8800000000000008</v>
      </c>
      <c r="I7" s="23">
        <v>2.0990000000000002</v>
      </c>
      <c r="J7" s="23">
        <v>1.9E-3</v>
      </c>
      <c r="K7" s="23">
        <v>4.0099000000000003E-2</v>
      </c>
      <c r="L7" s="23">
        <v>-2.2750000000000001E-3</v>
      </c>
      <c r="M7" s="23">
        <v>-1.2645E-2</v>
      </c>
      <c r="N7" s="23">
        <v>-2.6080000000000001E-3</v>
      </c>
      <c r="O7" s="23">
        <v>2.7546999999999999E-2</v>
      </c>
      <c r="P7" s="23">
        <v>-2.8679999999999999E-3</v>
      </c>
      <c r="Q7" s="23">
        <v>0.13991300000000001</v>
      </c>
      <c r="R7" s="23">
        <v>8.83E-4</v>
      </c>
      <c r="S7" s="19">
        <f t="shared" si="0"/>
        <v>4.0143988354422386E-2</v>
      </c>
      <c r="T7" s="19">
        <f t="shared" si="1"/>
        <v>1.2848021248425767E-2</v>
      </c>
      <c r="U7" s="19">
        <f t="shared" si="2"/>
        <v>2.7670180212640463E-2</v>
      </c>
      <c r="V7" s="19">
        <f t="shared" si="3"/>
        <v>0.1399423916938681</v>
      </c>
    </row>
    <row r="10" spans="1:22">
      <c r="A10" s="19" t="s">
        <v>175</v>
      </c>
      <c r="B10" s="19" t="s">
        <v>167</v>
      </c>
      <c r="C10" s="19" t="s">
        <v>168</v>
      </c>
      <c r="D10" s="19" t="s">
        <v>176</v>
      </c>
      <c r="E10" s="19" t="s">
        <v>177</v>
      </c>
      <c r="F10" s="19" t="s">
        <v>169</v>
      </c>
      <c r="G10" s="19" t="s">
        <v>170</v>
      </c>
      <c r="H10" s="19" t="s">
        <v>171</v>
      </c>
      <c r="I10" s="19" t="s">
        <v>172</v>
      </c>
      <c r="J10" s="19" t="s">
        <v>173</v>
      </c>
      <c r="K10" s="19" t="s">
        <v>174</v>
      </c>
    </row>
    <row r="11" spans="1:22">
      <c r="A11" s="19">
        <v>0.9</v>
      </c>
      <c r="B11" s="19">
        <v>-0.62939999999999996</v>
      </c>
      <c r="C11" s="19">
        <v>-0.89790000000000003</v>
      </c>
      <c r="D11" s="19">
        <v>2.802</v>
      </c>
      <c r="E11" s="19">
        <v>-2.6322999999999999</v>
      </c>
      <c r="F11" s="19">
        <v>0.1351</v>
      </c>
      <c r="G11" s="19">
        <v>0.36499999999999999</v>
      </c>
      <c r="H11" s="19">
        <v>8.9800000000000005E-2</v>
      </c>
      <c r="I11" s="19">
        <v>0.27529999999999999</v>
      </c>
      <c r="J11" s="19">
        <v>0.1033</v>
      </c>
      <c r="K11" s="19">
        <v>0.31659999999999999</v>
      </c>
    </row>
    <row r="12" spans="1:22">
      <c r="A12" s="19">
        <v>1.266</v>
      </c>
      <c r="B12" s="19">
        <v>-3.8999999999999998E-3</v>
      </c>
      <c r="C12" s="19">
        <v>-1.3495999999999999</v>
      </c>
      <c r="D12" s="19">
        <v>1.9531000000000001</v>
      </c>
      <c r="E12" s="19">
        <v>-0.69530000000000003</v>
      </c>
      <c r="F12" s="19">
        <v>0.1351</v>
      </c>
      <c r="G12" s="19">
        <v>0.36499999999999999</v>
      </c>
      <c r="H12" s="19">
        <v>0.13500000000000001</v>
      </c>
      <c r="I12" s="19">
        <v>0.19500000000000001</v>
      </c>
      <c r="J12" s="19">
        <v>0.1552</v>
      </c>
      <c r="K12" s="19">
        <v>0.22420000000000001</v>
      </c>
    </row>
    <row r="13" spans="1:22">
      <c r="A13" s="19">
        <v>1.633</v>
      </c>
      <c r="B13" s="19">
        <v>0.47910000000000003</v>
      </c>
      <c r="C13" s="19">
        <v>-1.2323</v>
      </c>
      <c r="D13" s="19">
        <v>1.9145000000000001</v>
      </c>
      <c r="E13" s="19">
        <v>1.6456</v>
      </c>
      <c r="F13" s="19">
        <v>0.1351</v>
      </c>
      <c r="G13" s="19">
        <v>0.36499999999999999</v>
      </c>
      <c r="H13" s="19">
        <v>0.1232</v>
      </c>
      <c r="I13" s="19">
        <v>0.22389999999999999</v>
      </c>
      <c r="J13" s="19">
        <v>0.14169999999999999</v>
      </c>
      <c r="K13" s="19">
        <v>0.25750000000000001</v>
      </c>
    </row>
    <row r="14" spans="1:22">
      <c r="A14" s="19">
        <v>1.766</v>
      </c>
      <c r="B14" s="19">
        <v>0.76070000000000004</v>
      </c>
      <c r="C14" s="19">
        <v>-0.92169999999999996</v>
      </c>
      <c r="D14" s="19">
        <v>2.4882</v>
      </c>
      <c r="E14" s="19">
        <v>3.2305000000000001</v>
      </c>
      <c r="F14" s="19">
        <v>0.1351</v>
      </c>
      <c r="G14" s="19">
        <v>0.36499999999999999</v>
      </c>
      <c r="H14" s="19">
        <v>9.2200000000000004E-2</v>
      </c>
      <c r="I14" s="19">
        <v>0.33400000000000002</v>
      </c>
      <c r="J14" s="19">
        <v>0.106</v>
      </c>
      <c r="K14" s="19">
        <v>0.3841</v>
      </c>
    </row>
    <row r="15" spans="1:22">
      <c r="A15" s="19">
        <v>1.899</v>
      </c>
      <c r="B15" s="19">
        <v>1.2126999999999999</v>
      </c>
      <c r="C15" s="19">
        <v>-0.24199999999999999</v>
      </c>
      <c r="D15" s="19">
        <v>3.4594999999999998</v>
      </c>
      <c r="E15" s="19">
        <v>5.8441000000000001</v>
      </c>
      <c r="F15" s="19">
        <v>0.1351</v>
      </c>
      <c r="G15" s="19">
        <v>0.36499999999999999</v>
      </c>
      <c r="H15" s="19">
        <v>2.4199999999999999E-2</v>
      </c>
      <c r="I15" s="19">
        <v>0.58440000000000003</v>
      </c>
      <c r="J15" s="19">
        <v>2.7799999999999998E-2</v>
      </c>
      <c r="K15" s="19">
        <v>0.67210000000000003</v>
      </c>
    </row>
    <row r="16" spans="1:22">
      <c r="A16" s="19">
        <v>2.0990000000000002</v>
      </c>
      <c r="B16" s="19">
        <v>1.7944</v>
      </c>
      <c r="C16" s="19">
        <v>1.7370000000000001</v>
      </c>
      <c r="D16" s="19">
        <v>-2.8313000000000001</v>
      </c>
      <c r="E16" s="19">
        <v>3.6960999999999999</v>
      </c>
      <c r="F16" s="19">
        <v>0.1351</v>
      </c>
      <c r="G16" s="19">
        <v>0.36499999999999999</v>
      </c>
      <c r="H16" s="19">
        <v>0.17369999999999999</v>
      </c>
      <c r="I16" s="19">
        <v>0.47710000000000002</v>
      </c>
      <c r="J16" s="19">
        <v>0.19980000000000001</v>
      </c>
      <c r="K16" s="19">
        <v>0.54869999999999997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Calculo para velocidad angular</vt:lpstr>
      <vt:lpstr>Supuestos</vt:lpstr>
      <vt:lpstr>Cinematica</vt:lpstr>
      <vt:lpstr>Resumen</vt:lpstr>
      <vt:lpstr>Sistema Reacciones</vt:lpstr>
      <vt:lpstr>Reacciones</vt:lpstr>
      <vt:lpstr>Procedimiento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</dc:creator>
  <cp:lastModifiedBy>Diego Samayoa</cp:lastModifiedBy>
  <dcterms:created xsi:type="dcterms:W3CDTF">2026-05-25T22:13:17Z</dcterms:created>
  <dcterms:modified xsi:type="dcterms:W3CDTF">2026-06-01T03:07:07Z</dcterms:modified>
</cp:coreProperties>
</file>